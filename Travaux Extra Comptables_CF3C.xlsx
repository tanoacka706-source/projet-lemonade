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490" activeTab="1"/>
  </bookViews>
  <sheets>
    <sheet name="Factures" sheetId="1" r:id="rId1"/>
    <sheet name="FACT AG2I 2" sheetId="5" r:id="rId2"/>
    <sheet name="Feuil2" sheetId="3" r:id="rId3"/>
    <sheet name="Corr" sheetId="4" r:id="rId4"/>
  </sheets>
  <definedNames>
    <definedName name="_xlnm.Print_Area" localSheetId="1">'FACT AG2I 2'!$A$1:$J$39</definedName>
    <definedName name="_xlnm.Print_Area" localSheetId="2">Feuil2!$B$1:$U$49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5" l="1"/>
  <c r="K31" i="5"/>
  <c r="I31" i="5" l="1"/>
  <c r="I32" i="5"/>
  <c r="I33" i="5" l="1"/>
  <c r="I34" i="5"/>
  <c r="L9" i="4"/>
  <c r="I35" i="5" l="1"/>
  <c r="L24" i="4"/>
  <c r="O24" i="4"/>
  <c r="R24" i="4"/>
  <c r="I7" i="4"/>
  <c r="D274" i="4"/>
  <c r="S270" i="4"/>
  <c r="P267" i="4"/>
  <c r="P270" i="4" s="1"/>
  <c r="P266" i="4"/>
  <c r="P265" i="4"/>
  <c r="S261" i="4"/>
  <c r="P261" i="4"/>
  <c r="S254" i="4"/>
  <c r="P254" i="4"/>
  <c r="S245" i="4"/>
  <c r="P245" i="4"/>
  <c r="D241" i="4"/>
  <c r="S237" i="4"/>
  <c r="P237" i="4"/>
  <c r="S230" i="4"/>
  <c r="P230" i="4"/>
  <c r="S223" i="4"/>
  <c r="P223" i="4"/>
  <c r="S214" i="4"/>
  <c r="P214" i="4"/>
  <c r="D210" i="4"/>
  <c r="S206" i="4"/>
  <c r="P206" i="4"/>
  <c r="E196" i="4"/>
  <c r="B196" i="4"/>
  <c r="E195" i="4"/>
  <c r="B195" i="4"/>
  <c r="E194" i="4"/>
  <c r="B194" i="4"/>
  <c r="E193" i="4"/>
  <c r="B193" i="4"/>
  <c r="D187" i="4"/>
  <c r="D176" i="4"/>
  <c r="D171" i="4"/>
  <c r="D181" i="4" s="1"/>
  <c r="I164" i="4"/>
  <c r="I163" i="4"/>
  <c r="P183" i="4" s="1"/>
  <c r="P185" i="4" s="1"/>
  <c r="I162" i="4"/>
  <c r="I161" i="4"/>
  <c r="P184" i="4" s="1"/>
  <c r="I156" i="4"/>
  <c r="I157" i="4" s="1"/>
  <c r="D148" i="4"/>
  <c r="S147" i="4"/>
  <c r="D141" i="4"/>
  <c r="D136" i="4"/>
  <c r="S134" i="4"/>
  <c r="D128" i="4"/>
  <c r="I121" i="4"/>
  <c r="P132" i="4" s="1"/>
  <c r="I117" i="4"/>
  <c r="P131" i="4" s="1"/>
  <c r="S146" i="4" s="1"/>
  <c r="I107" i="4"/>
  <c r="I108" i="4" s="1"/>
  <c r="I106" i="4"/>
  <c r="D97" i="4"/>
  <c r="D94" i="4"/>
  <c r="D89" i="4"/>
  <c r="D86" i="4"/>
  <c r="D71" i="4"/>
  <c r="D58" i="4"/>
  <c r="D48" i="4"/>
  <c r="P36" i="4"/>
  <c r="P37" i="4" s="1"/>
  <c r="D34" i="4"/>
  <c r="D30" i="4"/>
  <c r="D40" i="4" s="1"/>
  <c r="R23" i="4"/>
  <c r="I23" i="4" s="1"/>
  <c r="I15" i="4"/>
  <c r="R8" i="4"/>
  <c r="O8" i="4"/>
  <c r="L8" i="4"/>
  <c r="I8" i="4" s="1"/>
  <c r="I6" i="4"/>
  <c r="I5" i="4"/>
  <c r="I39" i="5" l="1"/>
  <c r="I38" i="5"/>
  <c r="I109" i="4"/>
  <c r="I110" i="4" s="1"/>
  <c r="R9" i="4"/>
  <c r="R10" i="4" s="1"/>
  <c r="P172" i="4"/>
  <c r="P177" i="4" s="1"/>
  <c r="S186" i="4"/>
  <c r="S188" i="4" s="1"/>
  <c r="S47" i="4"/>
  <c r="P65" i="4"/>
  <c r="I79" i="4"/>
  <c r="D53" i="4"/>
  <c r="I165" i="4"/>
  <c r="S174" i="4" s="1"/>
  <c r="S175" i="4" s="1"/>
  <c r="O9" i="4"/>
  <c r="O10" i="4" s="1"/>
  <c r="I37" i="5" l="1"/>
  <c r="I36" i="5"/>
  <c r="I111" i="4"/>
  <c r="I112" i="4" s="1"/>
  <c r="O12" i="4"/>
  <c r="O11" i="4"/>
  <c r="I24" i="4"/>
  <c r="P54" i="4"/>
  <c r="S69" i="4"/>
  <c r="I166" i="4"/>
  <c r="P55" i="4"/>
  <c r="S68" i="4"/>
  <c r="L10" i="4"/>
  <c r="I9" i="4"/>
  <c r="R11" i="4"/>
  <c r="R12" i="4" s="1"/>
  <c r="I114" i="4" l="1"/>
  <c r="S144" i="4"/>
  <c r="P129" i="4"/>
  <c r="R13" i="4"/>
  <c r="R14" i="4"/>
  <c r="S173" i="4"/>
  <c r="S177" i="4" s="1"/>
  <c r="P182" i="4"/>
  <c r="P188" i="4" s="1"/>
  <c r="I196" i="4"/>
  <c r="S38" i="4"/>
  <c r="P35" i="4" s="1"/>
  <c r="S56" i="4"/>
  <c r="P31" i="4"/>
  <c r="S32" i="4"/>
  <c r="P42" i="4"/>
  <c r="I80" i="4"/>
  <c r="I10" i="4"/>
  <c r="L11" i="4"/>
  <c r="I11" i="4" s="1"/>
  <c r="O13" i="4"/>
  <c r="O14" i="4" s="1"/>
  <c r="O16" i="4" s="1"/>
  <c r="I115" i="4" l="1"/>
  <c r="L12" i="4"/>
  <c r="R16" i="4"/>
  <c r="P62" i="4"/>
  <c r="O17" i="4"/>
  <c r="O18" i="4" s="1"/>
  <c r="S135" i="4" l="1"/>
  <c r="P143" i="4"/>
  <c r="R17" i="4"/>
  <c r="S70" i="4" s="1"/>
  <c r="I116" i="4"/>
  <c r="I118" i="4" s="1"/>
  <c r="I12" i="4"/>
  <c r="L13" i="4"/>
  <c r="I13" i="4" s="1"/>
  <c r="L14" i="4" l="1"/>
  <c r="I120" i="4"/>
  <c r="I123" i="4" s="1"/>
  <c r="I119" i="4"/>
  <c r="R18" i="4"/>
  <c r="I195" i="4" l="1"/>
  <c r="S133" i="4"/>
  <c r="S137" i="4" s="1"/>
  <c r="P142" i="4"/>
  <c r="P149" i="4" s="1"/>
  <c r="I14" i="4"/>
  <c r="S44" i="4" s="1"/>
  <c r="L16" i="4"/>
  <c r="S145" i="4"/>
  <c r="S149" i="4" s="1"/>
  <c r="P130" i="4"/>
  <c r="P137" i="4" s="1"/>
  <c r="L17" i="4" l="1"/>
  <c r="I17" i="4" s="1"/>
  <c r="P43" i="4" s="1"/>
  <c r="L18" i="4"/>
  <c r="I16" i="4"/>
  <c r="I18" i="4" l="1"/>
  <c r="O19" i="4" l="1"/>
  <c r="O20" i="4" s="1"/>
  <c r="R19" i="4"/>
  <c r="L19" i="4"/>
  <c r="I19" i="4" l="1"/>
  <c r="S46" i="4" s="1"/>
  <c r="L20" i="4"/>
  <c r="P64" i="4"/>
  <c r="R20" i="4"/>
  <c r="O21" i="4"/>
  <c r="O22" i="4" s="1"/>
  <c r="O25" i="4" s="1"/>
  <c r="P60" i="4"/>
  <c r="L22" i="4" l="1"/>
  <c r="I20" i="4"/>
  <c r="P61" i="4"/>
  <c r="R21" i="4"/>
  <c r="P63" i="4" s="1"/>
  <c r="R22" i="4" l="1"/>
  <c r="R25" i="4" s="1"/>
  <c r="S66" i="4" s="1"/>
  <c r="P59" i="4"/>
  <c r="P72" i="4" s="1"/>
  <c r="L25" i="4"/>
  <c r="I22" i="4"/>
  <c r="I21" i="4"/>
  <c r="S45" i="4" s="1"/>
  <c r="S49" i="4" s="1"/>
  <c r="I78" i="4" l="1"/>
  <c r="I77" i="4"/>
  <c r="I81" i="4" s="1"/>
  <c r="S67" i="4"/>
  <c r="S72" i="4" s="1"/>
  <c r="I25" i="4"/>
  <c r="I193" i="4" l="1"/>
  <c r="P41" i="4"/>
  <c r="P49" i="4" s="1"/>
  <c r="S88" i="4"/>
  <c r="S90" i="4" s="1"/>
  <c r="P87" i="4"/>
  <c r="P90" i="4" s="1"/>
  <c r="S96" i="4"/>
  <c r="S98" i="4" s="1"/>
  <c r="I194" i="4"/>
  <c r="P95" i="4"/>
  <c r="P98" i="4" s="1"/>
  <c r="I197" i="4" l="1"/>
  <c r="Z24" i="1" l="1"/>
  <c r="W24" i="1"/>
  <c r="T24" i="1"/>
  <c r="W23" i="1"/>
  <c r="Z23" i="1"/>
  <c r="T23" i="1"/>
  <c r="I17" i="3" l="1"/>
  <c r="I22" i="3" s="1"/>
  <c r="S7" i="3" l="1"/>
  <c r="S12" i="3"/>
  <c r="S16" i="3"/>
  <c r="I32" i="3" l="1"/>
  <c r="I40" i="3"/>
  <c r="S32" i="3"/>
  <c r="I45" i="3"/>
  <c r="S41" i="3"/>
  <c r="I41" i="3"/>
  <c r="S37" i="3"/>
  <c r="I13" i="3"/>
  <c r="I7" i="3"/>
  <c r="S49" i="3" l="1"/>
  <c r="I49" i="3"/>
  <c r="S22" i="3"/>
  <c r="Z22" i="1" l="1"/>
  <c r="Q22" i="1" s="1"/>
  <c r="Z10" i="1"/>
  <c r="W10" i="1"/>
  <c r="T10" i="1"/>
  <c r="Q10" i="1" s="1"/>
  <c r="Q9" i="1"/>
  <c r="Q8" i="1"/>
  <c r="Q7" i="1"/>
  <c r="W11" i="1" l="1"/>
  <c r="W12" i="1" s="1"/>
  <c r="Z11" i="1"/>
  <c r="Z12" i="1"/>
  <c r="T11" i="1"/>
  <c r="T12" i="1" s="1"/>
  <c r="Q12" i="1" l="1"/>
  <c r="T13" i="1"/>
  <c r="W13" i="1"/>
  <c r="W14" i="1" s="1"/>
  <c r="Z13" i="1"/>
  <c r="Z14" i="1"/>
  <c r="Q11" i="1"/>
  <c r="Q23" i="1"/>
  <c r="W16" i="1" l="1"/>
  <c r="W15" i="1"/>
  <c r="Z15" i="1"/>
  <c r="Z16" i="1" s="1"/>
  <c r="Q13" i="1"/>
  <c r="T14" i="1"/>
  <c r="Z17" i="1" l="1"/>
  <c r="Z18" i="1" s="1"/>
  <c r="W17" i="1"/>
  <c r="W18" i="1"/>
  <c r="Q14" i="1"/>
  <c r="T15" i="1"/>
  <c r="Q15" i="1" s="1"/>
  <c r="T16" i="1"/>
  <c r="Q16" i="1" l="1"/>
  <c r="T17" i="1"/>
  <c r="Q17" i="1" s="1"/>
  <c r="T18" i="1"/>
  <c r="Q18" i="1" l="1"/>
  <c r="Z19" i="1" l="1"/>
  <c r="Z20" i="1" s="1"/>
  <c r="W19" i="1"/>
  <c r="W20" i="1" s="1"/>
  <c r="T19" i="1"/>
  <c r="Q19" i="1" l="1"/>
  <c r="T20" i="1"/>
  <c r="Z21" i="1"/>
  <c r="W21" i="1"/>
  <c r="Q20" i="1" l="1"/>
  <c r="T21" i="1"/>
  <c r="Q21" i="1" s="1"/>
  <c r="Q24" i="1" l="1"/>
</calcChain>
</file>

<file path=xl/sharedStrings.xml><?xml version="1.0" encoding="utf-8"?>
<sst xmlns="http://schemas.openxmlformats.org/spreadsheetml/2006/main" count="434" uniqueCount="225">
  <si>
    <t>Présentation de la facture</t>
  </si>
  <si>
    <t>Fournisseur :</t>
  </si>
  <si>
    <t>DIENG SERVICES</t>
  </si>
  <si>
    <t>Date :</t>
  </si>
  <si>
    <t>Facture N°</t>
  </si>
  <si>
    <t>Doit :</t>
  </si>
  <si>
    <t>KOFFI KOFFI PETITO</t>
  </si>
  <si>
    <t>Ref.</t>
  </si>
  <si>
    <t>Désignation</t>
  </si>
  <si>
    <t>Quantité</t>
  </si>
  <si>
    <t>Prix U.</t>
  </si>
  <si>
    <t>Montant</t>
  </si>
  <si>
    <t>Mobilier de bureau</t>
  </si>
  <si>
    <t>Materiel de bureau</t>
  </si>
  <si>
    <t>Fournitures de bureau</t>
  </si>
  <si>
    <t>Total</t>
  </si>
  <si>
    <t>Rabais</t>
  </si>
  <si>
    <t>Net commercial 1</t>
  </si>
  <si>
    <t>Remise 1%</t>
  </si>
  <si>
    <t>Net commercial 2</t>
  </si>
  <si>
    <t>Remise 2%</t>
  </si>
  <si>
    <t>Net commercial 3</t>
  </si>
  <si>
    <t>Escompte 3%</t>
  </si>
  <si>
    <t>Net financier</t>
  </si>
  <si>
    <t>Port hors escompte</t>
  </si>
  <si>
    <t>Montant brut</t>
  </si>
  <si>
    <t>Tva 18%</t>
  </si>
  <si>
    <t>Consignation</t>
  </si>
  <si>
    <t>Avance</t>
  </si>
  <si>
    <t>Net A Payer</t>
  </si>
  <si>
    <t>ACTIF</t>
  </si>
  <si>
    <t>PASSIF</t>
  </si>
  <si>
    <t>Actif immobilisé</t>
  </si>
  <si>
    <t>Capitaux propres</t>
  </si>
  <si>
    <t>223200 Terrains</t>
  </si>
  <si>
    <t>130100 Résultat</t>
  </si>
  <si>
    <t>232300 Bâtiments</t>
  </si>
  <si>
    <t>Dettes financieres</t>
  </si>
  <si>
    <t>244200 Matériel industriel</t>
  </si>
  <si>
    <t>245100 Materiel automobile</t>
  </si>
  <si>
    <t>Actif circulant</t>
  </si>
  <si>
    <t>196100 Pensions</t>
  </si>
  <si>
    <t>411100 Clients</t>
  </si>
  <si>
    <t>Passif circulant</t>
  </si>
  <si>
    <t>421100 Personnel, avances</t>
  </si>
  <si>
    <t>401100 Fournisseurs</t>
  </si>
  <si>
    <t>Trésorerie actif</t>
  </si>
  <si>
    <t>521200 Banque Sgbci</t>
  </si>
  <si>
    <t>571100 Caisse</t>
  </si>
  <si>
    <t>Trésorerie passif</t>
  </si>
  <si>
    <t xml:space="preserve">Eléments </t>
  </si>
  <si>
    <t>Montants</t>
  </si>
  <si>
    <t>Bilan de la Société DIENG SERVICES au 31/12/2020</t>
  </si>
  <si>
    <t xml:space="preserve">311100 Stocks </t>
  </si>
  <si>
    <t>Ecart de convertion actif</t>
  </si>
  <si>
    <t>Ecart de convertion passif</t>
  </si>
  <si>
    <t>TOTAL ACTIF</t>
  </si>
  <si>
    <t>TOTAL PASSIF</t>
  </si>
  <si>
    <t>221800 Autres concessions</t>
  </si>
  <si>
    <t xml:space="preserve">438800 Organismes sociaux </t>
  </si>
  <si>
    <t>442800 Etat, impôts</t>
  </si>
  <si>
    <t>198800 Provisions pour risques</t>
  </si>
  <si>
    <t>118800 Réserves diverses</t>
  </si>
  <si>
    <t>157800 Provisions d'invest.</t>
  </si>
  <si>
    <t>101400 Capital amorti</t>
  </si>
  <si>
    <t>Bilan de l'entreprise PETITO au 31/12/2020</t>
  </si>
  <si>
    <t>213100 Logiciel</t>
  </si>
  <si>
    <t>215100 Fond commercial</t>
  </si>
  <si>
    <t>244100 Matériel de bureau</t>
  </si>
  <si>
    <t>244400 Mobilier de bureau</t>
  </si>
  <si>
    <t>488100 Créances hors activité</t>
  </si>
  <si>
    <t>111100 Réserve légale</t>
  </si>
  <si>
    <t xml:space="preserve">141100 Subvention </t>
  </si>
  <si>
    <t xml:space="preserve">162800 Emprunts </t>
  </si>
  <si>
    <t xml:space="preserve">162100 Emprunts </t>
  </si>
  <si>
    <t>444100 Tva due</t>
  </si>
  <si>
    <t>521200 Banque Bni</t>
  </si>
  <si>
    <t>284800 Amort. du matériel</t>
  </si>
  <si>
    <r>
      <t xml:space="preserve">Société DIENG SERVICES                  </t>
    </r>
    <r>
      <rPr>
        <b/>
        <i/>
        <sz val="7"/>
        <color theme="1"/>
        <rFont val="Times New Roman"/>
        <family val="1"/>
      </rPr>
      <t>Société Anonyme au capital de 70 milions de Francs CFA, Créée le 1 janv. 2015
Vente de Mobiliers de bureau, Matériels de bureau et Fournitures diverses de bureau 
Siège S. : 12, AV TENDIS, Treichville - BP 3296 ABIDJAN 01 - RCCM : CI-ABJ-2015-B-692 941 - CC N° 15 69940 Z
Tel. : 27 21 00 00 00 - Fax : 27 21 00 00 01 - RI. REEL - CDI : DIRECTION DES GRANDES ENTREPRISES - www.diengs.ci</t>
    </r>
  </si>
  <si>
    <t>101100 Capital social</t>
  </si>
  <si>
    <r>
      <t xml:space="preserve">ETS KOFFI                                       </t>
    </r>
    <r>
      <rPr>
        <b/>
        <i/>
        <sz val="7"/>
        <color theme="1"/>
        <rFont val="Times New Roman"/>
        <family val="1"/>
      </rPr>
      <t>Société Unipersonnel à Responsabilité Limitée au capital de 5 milions de Francs CFA, Créée le 1 janv. 2019
                                                             Entretien, Réparation et Prestations diverses 
                                                         Angré Groupement 4000 - BP 692 ABIDJAN 01 - RCCM : CI-ABJ-2019-B-123 432 - CC N° 19 2431 Y
                                                                       Tel. : 27 28 00 00 00 - Fax : 27 28 00 00 01 - RI. REEL - CDI : DIRECTION DES PME - www.koffikpetito@yahoo.fr</t>
    </r>
  </si>
  <si>
    <t>Présentation de la Facture N°300</t>
  </si>
  <si>
    <t>(Calculs annexes au brouillon)</t>
  </si>
  <si>
    <t>Mobilier de Bureau</t>
  </si>
  <si>
    <t>Matériel de Burureau</t>
  </si>
  <si>
    <t>Fournirures de Bureau</t>
  </si>
  <si>
    <t>Facture N°300</t>
  </si>
  <si>
    <t>DOIT :</t>
  </si>
  <si>
    <t>KOFFI K. PETITO</t>
  </si>
  <si>
    <t>Matériel de bureau</t>
  </si>
  <si>
    <t>Fourniture de Bureau</t>
  </si>
  <si>
    <t>Coût total d'achat</t>
  </si>
  <si>
    <t xml:space="preserve">Rabais </t>
  </si>
  <si>
    <t>1er Net commercial</t>
  </si>
  <si>
    <t>2e Net commercial</t>
  </si>
  <si>
    <t>3e Net commercial</t>
  </si>
  <si>
    <t>Port forfaitaire</t>
  </si>
  <si>
    <t>Port forfaitaire hors escompte</t>
  </si>
  <si>
    <t>Montant brut HT</t>
  </si>
  <si>
    <t>Montant TTC</t>
  </si>
  <si>
    <t>Consig. (1 532 355 + 2 100 000)</t>
  </si>
  <si>
    <t>Avance 65% Coût d'achat</t>
  </si>
  <si>
    <t>NET A PAYER</t>
  </si>
  <si>
    <t>Comptabilisation de la Facture N°300</t>
  </si>
  <si>
    <t>Chez le fournisseur DIENG SERVICES</t>
  </si>
  <si>
    <t>N° de comptes</t>
  </si>
  <si>
    <t>Libellé des écritures</t>
  </si>
  <si>
    <t>Débit</t>
  </si>
  <si>
    <t>Crédit</t>
  </si>
  <si>
    <t>Carte de crédit à encaisser</t>
  </si>
  <si>
    <t>Client, avance</t>
  </si>
  <si>
    <t>l’avis de crédit AVC N°5151-CB</t>
  </si>
  <si>
    <t>Banque</t>
  </si>
  <si>
    <t>Frais sur carte bancaire</t>
  </si>
  <si>
    <t>ToB</t>
  </si>
  <si>
    <t>Carte bancaire à encaisser</t>
  </si>
  <si>
    <t>Client</t>
  </si>
  <si>
    <t>Client avance reçue</t>
  </si>
  <si>
    <t>Escompte accordé</t>
  </si>
  <si>
    <t>Ventes de marchandises</t>
  </si>
  <si>
    <t>Tva facturée sur vente</t>
  </si>
  <si>
    <t>Client, emballages consignés</t>
  </si>
  <si>
    <t>Chez le client KOFFI K. PETITO</t>
  </si>
  <si>
    <t>Avance sur immoilisations</t>
  </si>
  <si>
    <t>Avance sur fourniture</t>
  </si>
  <si>
    <t xml:space="preserve">CB N⁰ 5151010421 </t>
  </si>
  <si>
    <t>Tva sur immobilisation</t>
  </si>
  <si>
    <t>Fourniture de bureau</t>
  </si>
  <si>
    <t>Tva sur achat</t>
  </si>
  <si>
    <t>Transport sur achat</t>
  </si>
  <si>
    <t>Fournisseur, emballages consignés</t>
  </si>
  <si>
    <t>Fournisseur d'exploitation</t>
  </si>
  <si>
    <t>Fournisseur d'immo</t>
  </si>
  <si>
    <t>Fournisseur avance versée</t>
  </si>
  <si>
    <t>Escompte obtenu</t>
  </si>
  <si>
    <t>Présentation de la note d'avoir N/AV N°300-1</t>
  </si>
  <si>
    <t xml:space="preserve">N/AV N°300-1 </t>
  </si>
  <si>
    <t>AVOIR :</t>
  </si>
  <si>
    <t>Ristourne  2,05646533</t>
  </si>
  <si>
    <t xml:space="preserve">Comptabilisation de la note d'avoir N/AV N°300-1 </t>
  </si>
  <si>
    <t>Vente de marchandises</t>
  </si>
  <si>
    <t>Fournisseur</t>
  </si>
  <si>
    <t>Ristourne obtenue</t>
  </si>
  <si>
    <t>Présentation de la Facture AV N°300-2</t>
  </si>
  <si>
    <t xml:space="preserve">Fact. AV N°300-2 </t>
  </si>
  <si>
    <t xml:space="preserve">  </t>
  </si>
  <si>
    <t>Consig. (43 X 15 323,55)</t>
  </si>
  <si>
    <t>NET A VOTRE CREDIT</t>
  </si>
  <si>
    <t>Comptabilisation de la Facture AV N°300-2</t>
  </si>
  <si>
    <t>Tva sur achats</t>
  </si>
  <si>
    <t>Frais de transport</t>
  </si>
  <si>
    <t>Consignations</t>
  </si>
  <si>
    <t xml:space="preserve">N/AV N°300-3 </t>
  </si>
  <si>
    <t>CONSIGNATIONS</t>
  </si>
  <si>
    <t>Conteneur</t>
  </si>
  <si>
    <t>Caissons         57 X 15 323,55</t>
  </si>
  <si>
    <t xml:space="preserve">TOTAL </t>
  </si>
  <si>
    <t>PENALITES DE RETARD</t>
  </si>
  <si>
    <t xml:space="preserve">Nombre de jours de retard : </t>
  </si>
  <si>
    <t>du 12/04 au 22/04 Soit 10 jours</t>
  </si>
  <si>
    <t>Conteneur                   17 000 X 10</t>
  </si>
  <si>
    <t>Caissons           57 X 155,754 X 10</t>
  </si>
  <si>
    <t>C.    détruits            5 X 15 323,55</t>
  </si>
  <si>
    <t>C.   non rendus       5 X 15 323,55</t>
  </si>
  <si>
    <t>TOTAL A DEDUIRE</t>
  </si>
  <si>
    <t>NAVC</t>
  </si>
  <si>
    <t>Comptabilisation de la note d'avoir N/AV N°300-3</t>
  </si>
  <si>
    <t>Client, emballages</t>
  </si>
  <si>
    <t>Bonis HT</t>
  </si>
  <si>
    <t>Tva sur ventes</t>
  </si>
  <si>
    <t>Achats d'emballages</t>
  </si>
  <si>
    <t>Malis HT</t>
  </si>
  <si>
    <t>Fournisseur, emballages</t>
  </si>
  <si>
    <t>Détermination du solde à Payer</t>
  </si>
  <si>
    <t>Comptabilisation du règlement du 1er tièrs par espèces</t>
  </si>
  <si>
    <t>Caisse</t>
  </si>
  <si>
    <t>PCR N⁰ 5711010521</t>
  </si>
  <si>
    <t>PCD N⁰ 5711010521</t>
  </si>
  <si>
    <t>Comptabilisation du règlement du 2e tièrs par chèque</t>
  </si>
  <si>
    <t>Cheque à encaisser</t>
  </si>
  <si>
    <t>Règlement client CHQ N⁰ 5211010621</t>
  </si>
  <si>
    <t>Cheque à l'encaissement</t>
  </si>
  <si>
    <t xml:space="preserve"> remise du chèque à la banque CHQ N⁰ 5211010621</t>
  </si>
  <si>
    <t>Lors de la reception de l'avis de crédit</t>
  </si>
  <si>
    <t>Paiement fournisseur CHQ N⁰ 5211010621</t>
  </si>
  <si>
    <t>Comptabilisation du 3e tiers par effet de commerce</t>
  </si>
  <si>
    <t>Client effet à recevoir</t>
  </si>
  <si>
    <t>Règlement par effet  N⁰ EF 512072021</t>
  </si>
  <si>
    <t>Effet à l'encaissement</t>
  </si>
  <si>
    <t>Remise de l'effet  N⁰ EF 512072021 à l'encaissement</t>
  </si>
  <si>
    <t>Frais</t>
  </si>
  <si>
    <t>TOB</t>
  </si>
  <si>
    <t>Fournisseur effet à payer</t>
  </si>
  <si>
    <t>Création de l'effet  N⁰ EF 512072021</t>
  </si>
  <si>
    <t>Avance 40% du TTC</t>
  </si>
  <si>
    <t>Matériel Ind</t>
  </si>
  <si>
    <t>Maintenance</t>
  </si>
  <si>
    <t>Formation</t>
  </si>
  <si>
    <t>Désignations</t>
  </si>
  <si>
    <t>Nombre</t>
  </si>
  <si>
    <t>PU HT</t>
  </si>
  <si>
    <t>Total Montant HT</t>
  </si>
  <si>
    <t>Total Commercial HT 1</t>
  </si>
  <si>
    <t>Total Commercial HT 2</t>
  </si>
  <si>
    <t>Total Brut HT</t>
  </si>
  <si>
    <t>Tva 18,00%</t>
  </si>
  <si>
    <t>Total Net à Payer :</t>
  </si>
  <si>
    <t>Conditions de Règlrments :</t>
  </si>
  <si>
    <t>ABIDJAN, le 05 Octobre 2022</t>
  </si>
  <si>
    <t>MATERIEL INFORMATIQUE</t>
  </si>
  <si>
    <t>FOURNITURES INFORMATIQUES</t>
  </si>
  <si>
    <t>Ordinateurs Portables HP PROBOOK 470</t>
  </si>
  <si>
    <t>Imprimante Officejet 4500</t>
  </si>
  <si>
    <t>Tapis de Souris Hunter</t>
  </si>
  <si>
    <t>Souris HP ref. OF</t>
  </si>
  <si>
    <t>Retroprojecteur TOSHIBA 109 cm</t>
  </si>
  <si>
    <t>Cable HDMI E216040</t>
  </si>
  <si>
    <t>Cables USB</t>
  </si>
  <si>
    <t xml:space="preserve">Moyen de règlement : </t>
  </si>
  <si>
    <t>Billet à ordre</t>
  </si>
  <si>
    <t xml:space="preserve">Délai de règlement : </t>
  </si>
  <si>
    <t>4 mensualités date facture</t>
  </si>
  <si>
    <t>Libellé à l'ordre de :</t>
  </si>
  <si>
    <t>AG2I</t>
  </si>
  <si>
    <t>Remise 3,140%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</si>
</sst>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C_F_A_-;\-* #,##0\ _C_F_A_-;_-* &quot;-&quot;\ _C_F_A_-;_-@_-"/>
    <numFmt numFmtId="43" formatCode="_-* #,##0.00\ _C_F_A_-;\-* #,##0.00\ _C_F_A_-;_-* &quot;-&quot;??\ _C_F_A_-;_-@_-"/>
    <numFmt numFmtId="164" formatCode="_-* #,##0\ _€_-;\-* #,##0\ _€_-;_-* &quot;-&quot;??\ _€_-;_-@_-"/>
  </numFmts>
  <fonts count="28" x14ac:knownFonts="1"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sz val="7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i/>
      <u/>
      <sz val="12"/>
      <color theme="1"/>
      <name val="Times New Roman"/>
      <family val="1"/>
    </font>
    <font>
      <i/>
      <sz val="12"/>
      <color theme="1" tint="0.34998626667073579"/>
      <name val="Times New Roman"/>
      <family val="1"/>
    </font>
    <font>
      <b/>
      <i/>
      <sz val="12"/>
      <color theme="1" tint="0.34998626667073579"/>
      <name val="Times New Roman"/>
      <family val="1"/>
    </font>
    <font>
      <i/>
      <sz val="12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Lucida Sans"/>
      <family val="2"/>
    </font>
    <font>
      <sz val="10"/>
      <color theme="1"/>
      <name val="Lucida Sans"/>
      <family val="2"/>
    </font>
    <font>
      <b/>
      <i/>
      <sz val="10"/>
      <color theme="1"/>
      <name val="Lucida Sans"/>
      <family val="2"/>
    </font>
    <font>
      <i/>
      <sz val="10"/>
      <color theme="1"/>
      <name val="Symbol"/>
      <family val="1"/>
      <charset val="2"/>
    </font>
    <font>
      <i/>
      <sz val="10"/>
      <color theme="1"/>
      <name val="Lucida Sans"/>
      <family val="2"/>
    </font>
    <font>
      <b/>
      <i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i/>
      <u/>
      <sz val="10"/>
      <color theme="1"/>
      <name val="Lucida Sans"/>
      <family val="2"/>
    </font>
    <font>
      <b/>
      <i/>
      <sz val="8"/>
      <color theme="1"/>
      <name val="Lucida Sans"/>
      <family val="2"/>
    </font>
    <font>
      <b/>
      <sz val="8"/>
      <color theme="1"/>
      <name val="Lucida Sans"/>
      <family val="2"/>
    </font>
    <font>
      <i/>
      <sz val="8"/>
      <color theme="1"/>
      <name val="Lucida Sans"/>
      <family val="2"/>
    </font>
    <font>
      <sz val="8"/>
      <color theme="1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33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0" borderId="0" xfId="0" applyFont="1" applyBorder="1" applyAlignment="1"/>
    <xf numFmtId="0" fontId="2" fillId="0" borderId="0" xfId="0" applyFont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3" fontId="3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3" fontId="4" fillId="0" borderId="0" xfId="0" applyNumberFormat="1" applyFont="1" applyBorder="1" applyAlignme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4" fillId="0" borderId="0" xfId="0" applyFont="1" applyBorder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7" fillId="0" borderId="0" xfId="1" applyNumberFormat="1" applyFont="1" applyBorder="1" applyAlignment="1"/>
    <xf numFmtId="164" fontId="2" fillId="0" borderId="0" xfId="1" applyNumberFormat="1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7" xfId="0" applyFont="1" applyBorder="1"/>
    <xf numFmtId="0" fontId="7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3" fontId="2" fillId="0" borderId="16" xfId="1" applyNumberFormat="1" applyFont="1" applyBorder="1" applyAlignment="1">
      <alignment horizontal="right"/>
    </xf>
    <xf numFmtId="3" fontId="2" fillId="0" borderId="0" xfId="1" applyNumberFormat="1" applyFont="1" applyBorder="1" applyAlignment="1">
      <alignment horizontal="right"/>
    </xf>
    <xf numFmtId="3" fontId="2" fillId="0" borderId="0" xfId="1" applyNumberFormat="1" applyFont="1" applyBorder="1" applyAlignment="1"/>
    <xf numFmtId="3" fontId="7" fillId="0" borderId="16" xfId="1" applyNumberFormat="1" applyFont="1" applyBorder="1" applyAlignment="1">
      <alignment horizontal="right"/>
    </xf>
    <xf numFmtId="3" fontId="7" fillId="0" borderId="0" xfId="1" applyNumberFormat="1" applyFont="1" applyBorder="1" applyAlignment="1">
      <alignment horizontal="right"/>
    </xf>
    <xf numFmtId="3" fontId="7" fillId="0" borderId="5" xfId="1" applyNumberFormat="1" applyFont="1" applyBorder="1" applyAlignment="1">
      <alignment horizontal="right"/>
    </xf>
    <xf numFmtId="0" fontId="11" fillId="0" borderId="0" xfId="0" applyFont="1"/>
    <xf numFmtId="0" fontId="1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 applyAlignment="1"/>
    <xf numFmtId="14" fontId="2" fillId="3" borderId="3" xfId="0" applyNumberFormat="1" applyFont="1" applyFill="1" applyBorder="1" applyAlignment="1"/>
    <xf numFmtId="14" fontId="2" fillId="3" borderId="4" xfId="0" applyNumberFormat="1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/>
    <xf numFmtId="0" fontId="2" fillId="3" borderId="8" xfId="0" applyFont="1" applyFill="1" applyBorder="1"/>
    <xf numFmtId="0" fontId="2" fillId="3" borderId="1" xfId="0" applyFont="1" applyFill="1" applyBorder="1"/>
    <xf numFmtId="0" fontId="2" fillId="3" borderId="4" xfId="0" applyFont="1" applyFill="1" applyBorder="1"/>
    <xf numFmtId="3" fontId="12" fillId="0" borderId="0" xfId="2" applyNumberFormat="1" applyFont="1" applyFill="1" applyBorder="1" applyAlignment="1">
      <alignment horizontal="right"/>
    </xf>
    <xf numFmtId="0" fontId="1" fillId="3" borderId="4" xfId="0" applyFont="1" applyFill="1" applyBorder="1"/>
    <xf numFmtId="0" fontId="1" fillId="3" borderId="0" xfId="0" applyFont="1" applyFill="1" applyBorder="1"/>
    <xf numFmtId="0" fontId="9" fillId="3" borderId="0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2" fillId="0" borderId="0" xfId="0" applyFont="1" applyFill="1"/>
    <xf numFmtId="0" fontId="7" fillId="0" borderId="0" xfId="0" applyFont="1" applyFill="1"/>
    <xf numFmtId="0" fontId="2" fillId="4" borderId="0" xfId="0" applyFont="1" applyFill="1"/>
    <xf numFmtId="0" fontId="2" fillId="3" borderId="32" xfId="0" applyFont="1" applyFill="1" applyBorder="1"/>
    <xf numFmtId="0" fontId="2" fillId="3" borderId="25" xfId="0" applyFont="1" applyFill="1" applyBorder="1"/>
    <xf numFmtId="14" fontId="2" fillId="3" borderId="16" xfId="0" applyNumberFormat="1" applyFont="1" applyFill="1" applyBorder="1" applyAlignment="1">
      <alignment horizontal="left"/>
    </xf>
    <xf numFmtId="14" fontId="2" fillId="3" borderId="0" xfId="0" applyNumberFormat="1" applyFont="1" applyFill="1" applyBorder="1" applyAlignment="1">
      <alignment horizontal="left"/>
    </xf>
    <xf numFmtId="0" fontId="2" fillId="3" borderId="17" xfId="0" applyFont="1" applyFill="1" applyBorder="1"/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4" fontId="2" fillId="3" borderId="30" xfId="0" applyNumberFormat="1" applyFont="1" applyFill="1" applyBorder="1" applyAlignment="1">
      <alignment horizontal="left"/>
    </xf>
    <xf numFmtId="14" fontId="2" fillId="3" borderId="33" xfId="0" applyNumberFormat="1" applyFont="1" applyFill="1" applyBorder="1" applyAlignment="1">
      <alignment horizontal="left"/>
    </xf>
    <xf numFmtId="0" fontId="2" fillId="3" borderId="33" xfId="0" applyFont="1" applyFill="1" applyBorder="1"/>
    <xf numFmtId="0" fontId="2" fillId="3" borderId="31" xfId="0" applyFont="1" applyFill="1" applyBorder="1"/>
    <xf numFmtId="0" fontId="15" fillId="2" borderId="0" xfId="0" applyFont="1" applyFill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30" xfId="0" applyFont="1" applyFill="1" applyBorder="1"/>
    <xf numFmtId="14" fontId="2" fillId="3" borderId="30" xfId="0" applyNumberFormat="1" applyFont="1" applyFill="1" applyBorder="1"/>
    <xf numFmtId="0" fontId="1" fillId="0" borderId="0" xfId="0" applyFont="1" applyFill="1"/>
    <xf numFmtId="0" fontId="1" fillId="3" borderId="24" xfId="0" applyFont="1" applyFill="1" applyBorder="1" applyAlignment="1">
      <alignment horizontal="center" wrapText="1"/>
    </xf>
    <xf numFmtId="0" fontId="1" fillId="3" borderId="25" xfId="0" applyFont="1" applyFill="1" applyBorder="1" applyAlignment="1">
      <alignment horizontal="center" wrapText="1"/>
    </xf>
    <xf numFmtId="0" fontId="1" fillId="3" borderId="3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3" fontId="2" fillId="3" borderId="4" xfId="1" applyNumberFormat="1" applyFont="1" applyFill="1" applyBorder="1" applyAlignment="1">
      <alignment horizontal="right"/>
    </xf>
    <xf numFmtId="3" fontId="2" fillId="3" borderId="0" xfId="1" applyNumberFormat="1" applyFont="1" applyFill="1" applyBorder="1" applyAlignment="1">
      <alignment horizontal="right"/>
    </xf>
    <xf numFmtId="3" fontId="2" fillId="3" borderId="5" xfId="1" applyNumberFormat="1" applyFont="1" applyFill="1" applyBorder="1" applyAlignment="1">
      <alignment horizontal="right"/>
    </xf>
    <xf numFmtId="0" fontId="10" fillId="0" borderId="0" xfId="0" applyFont="1"/>
    <xf numFmtId="0" fontId="1" fillId="3" borderId="6" xfId="0" applyFont="1" applyFill="1" applyBorder="1"/>
    <xf numFmtId="0" fontId="0" fillId="0" borderId="0" xfId="0" applyFill="1"/>
    <xf numFmtId="3" fontId="2" fillId="3" borderId="16" xfId="0" applyNumberFormat="1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14" fontId="2" fillId="3" borderId="0" xfId="0" applyNumberFormat="1" applyFont="1" applyFill="1" applyBorder="1"/>
    <xf numFmtId="0" fontId="16" fillId="0" borderId="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" xfId="0" applyFont="1" applyBorder="1" applyAlignment="1"/>
    <xf numFmtId="0" fontId="17" fillId="0" borderId="2" xfId="0" applyFont="1" applyBorder="1" applyAlignment="1"/>
    <xf numFmtId="3" fontId="17" fillId="0" borderId="1" xfId="2" applyNumberFormat="1" applyFont="1" applyBorder="1" applyAlignment="1">
      <alignment horizontal="center"/>
    </xf>
    <xf numFmtId="3" fontId="17" fillId="0" borderId="35" xfId="2" applyNumberFormat="1" applyFont="1" applyBorder="1" applyAlignment="1">
      <alignment horizontal="right" vertical="center"/>
    </xf>
    <xf numFmtId="0" fontId="18" fillId="0" borderId="4" xfId="0" applyFont="1" applyBorder="1" applyAlignment="1"/>
    <xf numFmtId="0" fontId="17" fillId="0" borderId="0" xfId="0" applyFont="1" applyBorder="1" applyAlignment="1"/>
    <xf numFmtId="0" fontId="16" fillId="0" borderId="0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3" fontId="17" fillId="0" borderId="4" xfId="2" applyNumberFormat="1" applyFont="1" applyBorder="1" applyAlignment="1">
      <alignment horizontal="center"/>
    </xf>
    <xf numFmtId="3" fontId="17" fillId="0" borderId="36" xfId="2" applyNumberFormat="1" applyFont="1" applyBorder="1" applyAlignment="1">
      <alignment horizontal="right" vertical="center"/>
    </xf>
    <xf numFmtId="0" fontId="17" fillId="0" borderId="4" xfId="0" applyFont="1" applyBorder="1" applyAlignment="1"/>
    <xf numFmtId="0" fontId="17" fillId="0" borderId="0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9" fillId="0" borderId="0" xfId="0" applyFont="1" applyBorder="1" applyAlignment="1">
      <alignment horizontal="left" vertical="center" indent="1"/>
    </xf>
    <xf numFmtId="0" fontId="19" fillId="0" borderId="5" xfId="0" applyFont="1" applyBorder="1" applyAlignment="1">
      <alignment horizontal="left" vertical="center" indent="1"/>
    </xf>
    <xf numFmtId="0" fontId="17" fillId="0" borderId="6" xfId="0" applyFont="1" applyBorder="1" applyAlignment="1"/>
    <xf numFmtId="0" fontId="17" fillId="0" borderId="7" xfId="0" applyFont="1" applyBorder="1" applyAlignment="1"/>
    <xf numFmtId="0" fontId="19" fillId="0" borderId="7" xfId="0" applyFont="1" applyBorder="1" applyAlignment="1">
      <alignment horizontal="left" vertical="center" indent="1"/>
    </xf>
    <xf numFmtId="0" fontId="19" fillId="0" borderId="8" xfId="0" applyFont="1" applyBorder="1" applyAlignment="1">
      <alignment horizontal="left" vertical="center" indent="1"/>
    </xf>
    <xf numFmtId="3" fontId="17" fillId="0" borderId="6" xfId="2" applyNumberFormat="1" applyFont="1" applyBorder="1" applyAlignment="1">
      <alignment horizontal="center"/>
    </xf>
    <xf numFmtId="3" fontId="17" fillId="0" borderId="37" xfId="2" applyNumberFormat="1" applyFont="1" applyBorder="1" applyAlignment="1">
      <alignment horizontal="right" vertical="center"/>
    </xf>
    <xf numFmtId="0" fontId="20" fillId="0" borderId="0" xfId="0" applyFont="1"/>
    <xf numFmtId="0" fontId="17" fillId="0" borderId="0" xfId="0" applyFont="1"/>
    <xf numFmtId="3" fontId="18" fillId="0" borderId="0" xfId="0" applyNumberFormat="1" applyFont="1" applyBorder="1" applyAlignment="1">
      <alignment vertical="center"/>
    </xf>
    <xf numFmtId="3" fontId="20" fillId="0" borderId="0" xfId="0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Border="1" applyAlignment="1">
      <alignment horizontal="left" vertical="center"/>
    </xf>
    <xf numFmtId="3" fontId="18" fillId="0" borderId="0" xfId="0" applyNumberFormat="1" applyFont="1" applyBorder="1" applyAlignment="1"/>
    <xf numFmtId="0" fontId="17" fillId="0" borderId="4" xfId="0" applyFont="1" applyBorder="1" applyAlignment="1">
      <alignment horizontal="left" indent="1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2" fillId="0" borderId="0" xfId="0" applyFont="1" applyAlignment="1">
      <alignment horizontal="center"/>
    </xf>
    <xf numFmtId="3" fontId="22" fillId="0" borderId="0" xfId="0" applyNumberFormat="1" applyFont="1"/>
    <xf numFmtId="3" fontId="17" fillId="0" borderId="3" xfId="2" applyNumberFormat="1" applyFont="1" applyBorder="1" applyAlignment="1">
      <alignment horizontal="right"/>
    </xf>
    <xf numFmtId="3" fontId="17" fillId="0" borderId="5" xfId="2" applyNumberFormat="1" applyFont="1" applyBorder="1" applyAlignment="1">
      <alignment horizontal="right"/>
    </xf>
    <xf numFmtId="3" fontId="17" fillId="0" borderId="8" xfId="2" applyNumberFormat="1" applyFont="1" applyBorder="1" applyAlignment="1">
      <alignment horizontal="right"/>
    </xf>
    <xf numFmtId="0" fontId="20" fillId="0" borderId="0" xfId="0" applyFont="1" applyFill="1"/>
    <xf numFmtId="0" fontId="23" fillId="0" borderId="0" xfId="0" applyFont="1"/>
    <xf numFmtId="0" fontId="18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4" xfId="0" applyFont="1" applyBorder="1" applyAlignment="1"/>
    <xf numFmtId="0" fontId="20" fillId="0" borderId="4" xfId="0" applyFont="1" applyBorder="1" applyAlignment="1">
      <alignment vertical="center"/>
    </xf>
    <xf numFmtId="0" fontId="18" fillId="0" borderId="0" xfId="0" applyFont="1" applyBorder="1" applyAlignment="1">
      <alignment horizontal="left" indent="5"/>
    </xf>
    <xf numFmtId="0" fontId="20" fillId="0" borderId="0" xfId="0" applyFont="1" applyBorder="1" applyAlignment="1">
      <alignment horizontal="left" indent="5"/>
    </xf>
    <xf numFmtId="0" fontId="18" fillId="0" borderId="0" xfId="0" applyFont="1" applyBorder="1" applyAlignment="1">
      <alignment horizontal="left" vertical="center" indent="5"/>
    </xf>
    <xf numFmtId="0" fontId="24" fillId="0" borderId="0" xfId="0" applyFont="1"/>
    <xf numFmtId="0" fontId="25" fillId="0" borderId="0" xfId="0" applyFont="1"/>
    <xf numFmtId="0" fontId="24" fillId="0" borderId="0" xfId="0" applyFont="1" applyFill="1"/>
    <xf numFmtId="0" fontId="26" fillId="0" borderId="0" xfId="0" applyFont="1"/>
    <xf numFmtId="0" fontId="27" fillId="0" borderId="0" xfId="0" applyFont="1"/>
    <xf numFmtId="0" fontId="1" fillId="2" borderId="11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3" fontId="1" fillId="2" borderId="10" xfId="0" applyNumberFormat="1" applyFont="1" applyFill="1" applyBorder="1" applyAlignment="1">
      <alignment horizontal="right"/>
    </xf>
    <xf numFmtId="3" fontId="1" fillId="2" borderId="13" xfId="0" applyNumberFormat="1" applyFont="1" applyFill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2" fillId="2" borderId="16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3" fontId="2" fillId="2" borderId="0" xfId="0" applyNumberFormat="1" applyFont="1" applyFill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right"/>
    </xf>
    <xf numFmtId="3" fontId="2" fillId="2" borderId="17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3" fontId="2" fillId="2" borderId="14" xfId="0" applyNumberFormat="1" applyFont="1" applyFill="1" applyBorder="1" applyAlignment="1">
      <alignment horizontal="right"/>
    </xf>
    <xf numFmtId="3" fontId="2" fillId="2" borderId="15" xfId="0" applyNumberFormat="1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3" fontId="18" fillId="0" borderId="1" xfId="0" applyNumberFormat="1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21" fillId="0" borderId="0" xfId="0" applyFont="1" applyAlignment="1">
      <alignment horizontal="center"/>
    </xf>
    <xf numFmtId="3" fontId="9" fillId="0" borderId="16" xfId="1" applyNumberFormat="1" applyFont="1" applyBorder="1" applyAlignment="1">
      <alignment horizontal="right"/>
    </xf>
    <xf numFmtId="3" fontId="9" fillId="0" borderId="0" xfId="1" applyNumberFormat="1" applyFont="1" applyBorder="1" applyAlignment="1">
      <alignment horizontal="right"/>
    </xf>
    <xf numFmtId="3" fontId="2" fillId="0" borderId="16" xfId="1" applyNumberFormat="1" applyFont="1" applyBorder="1" applyAlignment="1">
      <alignment horizontal="right"/>
    </xf>
    <xf numFmtId="3" fontId="2" fillId="0" borderId="0" xfId="1" applyNumberFormat="1" applyFont="1" applyBorder="1" applyAlignment="1">
      <alignment horizontal="right"/>
    </xf>
    <xf numFmtId="3" fontId="7" fillId="0" borderId="16" xfId="1" applyNumberFormat="1" applyFont="1" applyBorder="1" applyAlignment="1">
      <alignment horizontal="right"/>
    </xf>
    <xf numFmtId="3" fontId="7" fillId="0" borderId="0" xfId="1" applyNumberFormat="1" applyFont="1" applyBorder="1" applyAlignment="1">
      <alignment horizontal="right"/>
    </xf>
    <xf numFmtId="3" fontId="7" fillId="0" borderId="5" xfId="1" applyNumberFormat="1" applyFont="1" applyBorder="1" applyAlignment="1">
      <alignment horizontal="right"/>
    </xf>
    <xf numFmtId="3" fontId="2" fillId="0" borderId="5" xfId="1" applyNumberFormat="1" applyFont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3" fontId="1" fillId="0" borderId="11" xfId="1" applyNumberFormat="1" applyFont="1" applyBorder="1" applyAlignment="1">
      <alignment horizontal="right"/>
    </xf>
    <xf numFmtId="3" fontId="1" fillId="0" borderId="10" xfId="1" applyNumberFormat="1" applyFont="1" applyBorder="1" applyAlignment="1">
      <alignment horizontal="right"/>
    </xf>
    <xf numFmtId="3" fontId="1" fillId="0" borderId="12" xfId="1" applyNumberFormat="1" applyFont="1" applyBorder="1" applyAlignment="1">
      <alignment horizontal="right"/>
    </xf>
    <xf numFmtId="3" fontId="1" fillId="0" borderId="13" xfId="1" applyNumberFormat="1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164" fontId="1" fillId="0" borderId="7" xfId="1" applyNumberFormat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3" fontId="2" fillId="3" borderId="16" xfId="0" applyNumberFormat="1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3" fontId="2" fillId="3" borderId="30" xfId="0" applyNumberFormat="1" applyFont="1" applyFill="1" applyBorder="1" applyAlignment="1">
      <alignment horizontal="right"/>
    </xf>
    <xf numFmtId="3" fontId="2" fillId="3" borderId="33" xfId="0" applyNumberFormat="1" applyFont="1" applyFill="1" applyBorder="1" applyAlignment="1">
      <alignment horizontal="right"/>
    </xf>
    <xf numFmtId="3" fontId="2" fillId="3" borderId="31" xfId="0" applyNumberFormat="1" applyFont="1" applyFill="1" applyBorder="1" applyAlignment="1">
      <alignment horizontal="right"/>
    </xf>
    <xf numFmtId="14" fontId="2" fillId="3" borderId="24" xfId="0" applyNumberFormat="1" applyFont="1" applyFill="1" applyBorder="1" applyAlignment="1">
      <alignment horizontal="left" vertical="center"/>
    </xf>
    <xf numFmtId="14" fontId="2" fillId="3" borderId="32" xfId="0" applyNumberFormat="1" applyFont="1" applyFill="1" applyBorder="1" applyAlignment="1">
      <alignment horizontal="left" vertical="center"/>
    </xf>
    <xf numFmtId="3" fontId="2" fillId="3" borderId="24" xfId="0" applyNumberFormat="1" applyFont="1" applyFill="1" applyBorder="1" applyAlignment="1">
      <alignment horizontal="right"/>
    </xf>
    <xf numFmtId="3" fontId="2" fillId="3" borderId="32" xfId="0" applyNumberFormat="1" applyFont="1" applyFill="1" applyBorder="1" applyAlignment="1">
      <alignment horizontal="right"/>
    </xf>
    <xf numFmtId="3" fontId="2" fillId="3" borderId="25" xfId="0" applyNumberFormat="1" applyFont="1" applyFill="1" applyBorder="1" applyAlignment="1">
      <alignment horizontal="right"/>
    </xf>
    <xf numFmtId="3" fontId="1" fillId="0" borderId="32" xfId="0" applyNumberFormat="1" applyFont="1" applyFill="1" applyBorder="1" applyAlignment="1">
      <alignment horizontal="right"/>
    </xf>
    <xf numFmtId="0" fontId="1" fillId="3" borderId="26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3" fontId="2" fillId="3" borderId="16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14" fontId="2" fillId="3" borderId="24" xfId="0" applyNumberFormat="1" applyFont="1" applyFill="1" applyBorder="1" applyAlignment="1">
      <alignment horizontal="left"/>
    </xf>
    <xf numFmtId="14" fontId="2" fillId="3" borderId="32" xfId="0" applyNumberFormat="1" applyFont="1" applyFill="1" applyBorder="1" applyAlignment="1">
      <alignment horizontal="left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right"/>
    </xf>
    <xf numFmtId="3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2" fillId="3" borderId="4" xfId="0" applyNumberFormat="1" applyFont="1" applyFill="1" applyBorder="1" applyAlignment="1">
      <alignment horizontal="left"/>
    </xf>
    <xf numFmtId="14" fontId="2" fillId="3" borderId="0" xfId="0" applyNumberFormat="1" applyFont="1" applyFill="1" applyBorder="1" applyAlignment="1">
      <alignment horizontal="left"/>
    </xf>
    <xf numFmtId="3" fontId="2" fillId="3" borderId="4" xfId="1" applyNumberFormat="1" applyFont="1" applyFill="1" applyBorder="1" applyAlignment="1">
      <alignment horizontal="right"/>
    </xf>
    <xf numFmtId="3" fontId="2" fillId="3" borderId="0" xfId="1" applyNumberFormat="1" applyFont="1" applyFill="1" applyBorder="1" applyAlignment="1">
      <alignment horizontal="right"/>
    </xf>
    <xf numFmtId="3" fontId="2" fillId="3" borderId="5" xfId="1" applyNumberFormat="1" applyFont="1" applyFill="1" applyBorder="1" applyAlignment="1">
      <alignment horizontal="righ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3" fontId="1" fillId="3" borderId="6" xfId="1" applyNumberFormat="1" applyFont="1" applyFill="1" applyBorder="1" applyAlignment="1">
      <alignment horizontal="right"/>
    </xf>
    <xf numFmtId="3" fontId="1" fillId="3" borderId="7" xfId="1" applyNumberFormat="1" applyFont="1" applyFill="1" applyBorder="1" applyAlignment="1">
      <alignment horizontal="right"/>
    </xf>
    <xf numFmtId="3" fontId="1" fillId="3" borderId="8" xfId="1" applyNumberFormat="1" applyFont="1" applyFill="1" applyBorder="1" applyAlignment="1">
      <alignment horizontal="right"/>
    </xf>
    <xf numFmtId="3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4" fontId="2" fillId="3" borderId="2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3" fontId="1" fillId="3" borderId="4" xfId="1" applyNumberFormat="1" applyFont="1" applyFill="1" applyBorder="1" applyAlignment="1">
      <alignment horizontal="right"/>
    </xf>
    <xf numFmtId="3" fontId="1" fillId="3" borderId="0" xfId="1" applyNumberFormat="1" applyFont="1" applyFill="1" applyBorder="1" applyAlignment="1">
      <alignment horizontal="right"/>
    </xf>
    <xf numFmtId="3" fontId="1" fillId="3" borderId="5" xfId="1" applyNumberFormat="1" applyFont="1" applyFill="1" applyBorder="1" applyAlignment="1">
      <alignment horizontal="right"/>
    </xf>
    <xf numFmtId="3" fontId="1" fillId="3" borderId="9" xfId="1" applyNumberFormat="1" applyFont="1" applyFill="1" applyBorder="1" applyAlignment="1">
      <alignment horizontal="right"/>
    </xf>
    <xf numFmtId="3" fontId="1" fillId="3" borderId="10" xfId="1" applyNumberFormat="1" applyFont="1" applyFill="1" applyBorder="1" applyAlignment="1">
      <alignment horizontal="right"/>
    </xf>
    <xf numFmtId="3" fontId="1" fillId="3" borderId="13" xfId="1" applyNumberFormat="1" applyFont="1" applyFill="1" applyBorder="1" applyAlignment="1">
      <alignment horizontal="right"/>
    </xf>
    <xf numFmtId="14" fontId="2" fillId="3" borderId="16" xfId="0" applyNumberFormat="1" applyFont="1" applyFill="1" applyBorder="1" applyAlignment="1">
      <alignment horizontal="left"/>
    </xf>
    <xf numFmtId="3" fontId="2" fillId="3" borderId="1" xfId="1" applyNumberFormat="1" applyFont="1" applyFill="1" applyBorder="1" applyAlignment="1">
      <alignment horizontal="right"/>
    </xf>
    <xf numFmtId="3" fontId="2" fillId="3" borderId="2" xfId="1" applyNumberFormat="1" applyFont="1" applyFill="1" applyBorder="1" applyAlignment="1">
      <alignment horizontal="right"/>
    </xf>
    <xf numFmtId="3" fontId="2" fillId="3" borderId="3" xfId="1" applyNumberFormat="1" applyFont="1" applyFill="1" applyBorder="1" applyAlignment="1">
      <alignment horizontal="right"/>
    </xf>
    <xf numFmtId="0" fontId="14" fillId="3" borderId="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3" fontId="12" fillId="0" borderId="4" xfId="1" applyNumberFormat="1" applyFont="1" applyFill="1" applyBorder="1" applyAlignment="1">
      <alignment horizontal="right"/>
    </xf>
    <xf numFmtId="3" fontId="12" fillId="0" borderId="0" xfId="1" applyNumberFormat="1" applyFont="1" applyFill="1" applyBorder="1" applyAlignment="1">
      <alignment horizontal="right"/>
    </xf>
    <xf numFmtId="3" fontId="13" fillId="0" borderId="4" xfId="1" applyNumberFormat="1" applyFont="1" applyFill="1" applyBorder="1" applyAlignment="1">
      <alignment horizontal="right"/>
    </xf>
    <xf numFmtId="3" fontId="13" fillId="0" borderId="0" xfId="1" applyNumberFormat="1" applyFont="1" applyFill="1" applyBorder="1" applyAlignment="1">
      <alignment horizontal="right"/>
    </xf>
    <xf numFmtId="3" fontId="12" fillId="0" borderId="0" xfId="2" applyNumberFormat="1" applyFont="1" applyFill="1" applyBorder="1" applyAlignment="1">
      <alignment horizontal="right"/>
    </xf>
    <xf numFmtId="0" fontId="12" fillId="0" borderId="4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3" fontId="12" fillId="0" borderId="0" xfId="1" applyNumberFormat="1" applyFont="1" applyFill="1" applyBorder="1" applyAlignment="1">
      <alignment horizontal="center"/>
    </xf>
    <xf numFmtId="3" fontId="18" fillId="0" borderId="9" xfId="0" applyNumberFormat="1" applyFont="1" applyBorder="1" applyAlignment="1">
      <alignment horizontal="right" vertical="center"/>
    </xf>
    <xf numFmtId="3" fontId="20" fillId="0" borderId="20" xfId="0" applyNumberFormat="1" applyFont="1" applyBorder="1" applyAlignment="1">
      <alignment horizontal="right" vertical="center"/>
    </xf>
    <xf numFmtId="3" fontId="18" fillId="0" borderId="40" xfId="0" applyNumberFormat="1" applyFont="1" applyBorder="1" applyAlignment="1">
      <alignment horizontal="right" vertical="center"/>
    </xf>
    <xf numFmtId="3" fontId="20" fillId="0" borderId="40" xfId="0" applyNumberFormat="1" applyFont="1" applyBorder="1" applyAlignment="1">
      <alignment horizontal="right" vertical="center"/>
    </xf>
    <xf numFmtId="3" fontId="20" fillId="0" borderId="38" xfId="0" applyNumberFormat="1" applyFont="1" applyBorder="1" applyAlignment="1">
      <alignment horizontal="right" vertical="center"/>
    </xf>
    <xf numFmtId="3" fontId="20" fillId="0" borderId="23" xfId="0" applyNumberFormat="1" applyFont="1" applyBorder="1" applyAlignment="1">
      <alignment horizontal="right" vertical="center"/>
    </xf>
    <xf numFmtId="3" fontId="18" fillId="0" borderId="41" xfId="0" applyNumberFormat="1" applyFont="1" applyBorder="1" applyAlignment="1">
      <alignment horizontal="right" vertical="center"/>
    </xf>
    <xf numFmtId="3" fontId="20" fillId="0" borderId="41" xfId="0" applyNumberFormat="1" applyFont="1" applyBorder="1" applyAlignment="1">
      <alignment horizontal="right" vertical="center"/>
    </xf>
    <xf numFmtId="3" fontId="20" fillId="0" borderId="39" xfId="0" applyNumberFormat="1" applyFont="1" applyBorder="1" applyAlignment="1">
      <alignment horizontal="right" vertical="center"/>
    </xf>
    <xf numFmtId="3" fontId="18" fillId="0" borderId="13" xfId="0" applyNumberFormat="1" applyFont="1" applyBorder="1" applyAlignment="1">
      <alignment horizontal="right" vertic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76200</xdr:rowOff>
    </xdr:from>
    <xdr:to>
      <xdr:col>5</xdr:col>
      <xdr:colOff>0</xdr:colOff>
      <xdr:row>15</xdr:row>
      <xdr:rowOff>57150</xdr:rowOff>
    </xdr:to>
    <xdr:sp macro="" textlink="">
      <xdr:nvSpPr>
        <xdr:cNvPr id="2" name="ZoneTexte 1"/>
        <xdr:cNvSpPr txBox="1"/>
      </xdr:nvSpPr>
      <xdr:spPr>
        <a:xfrm>
          <a:off x="190500" y="1409700"/>
          <a:ext cx="3038475" cy="1514475"/>
        </a:xfrm>
        <a:prstGeom prst="rect">
          <a:avLst/>
        </a:prstGeom>
        <a:solidFill>
          <a:schemeClr val="bg1"/>
        </a:solidFill>
        <a:ln w="9525" cmpd="dbl"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000" b="0">
              <a:latin typeface="Calibri" panose="020F0502020204030204" pitchFamily="34" charset="0"/>
            </a:rPr>
            <a:t>Avenue Chardy - Immeuble </a:t>
          </a:r>
          <a:r>
            <a:rPr lang="fr-FR" sz="1000" b="0" baseline="0">
              <a:latin typeface="Calibri" panose="020F0502020204030204" pitchFamily="34" charset="0"/>
            </a:rPr>
            <a:t> Lapha 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01 BP 282 Abidjan 01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Tél.:  +225 20 03 36 36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Fax : +225 20 03 36 34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Site web : www.cloudexp.ci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Email : infos@cloudexp.com</a:t>
          </a:r>
        </a:p>
        <a:p>
          <a:pPr algn="l"/>
          <a:r>
            <a:rPr lang="fr-FR" sz="1000" b="1" baseline="0">
              <a:latin typeface="Calibri" panose="020F0502020204030204" pitchFamily="34" charset="0"/>
            </a:rPr>
            <a:t>Votre contact : Jean-Yves MIKPE</a:t>
          </a:r>
        </a:p>
        <a:p>
          <a:pPr algn="l"/>
          <a:r>
            <a:rPr lang="fr-FR" sz="1000" b="1" baseline="0">
              <a:latin typeface="Calibri" panose="020F0502020204030204" pitchFamily="34" charset="0"/>
            </a:rPr>
            <a:t>Mobile</a:t>
          </a:r>
          <a:r>
            <a:rPr lang="fr-FR" sz="1000" b="0" baseline="0">
              <a:latin typeface="Calibri" panose="020F0502020204030204" pitchFamily="34" charset="0"/>
            </a:rPr>
            <a:t>.: +225 06 17 42 10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Email.: jymikpe@cloudexp.com</a:t>
          </a:r>
        </a:p>
        <a:p>
          <a:pPr algn="l"/>
          <a:r>
            <a:rPr lang="fr-FR" sz="1000" b="0" baseline="0">
              <a:latin typeface="Calibri" panose="020F0502020204030204" pitchFamily="34" charset="0"/>
            </a:rPr>
            <a:t> </a:t>
          </a:r>
          <a:r>
            <a:rPr lang="fr-FR" sz="1100" b="0" baseline="0"/>
            <a:t>		</a:t>
          </a:r>
          <a:r>
            <a:rPr lang="fr-FR" sz="1100" baseline="0"/>
            <a:t>				</a:t>
          </a:r>
          <a:endParaRPr lang="fr-FR" sz="1100"/>
        </a:p>
      </xdr:txBody>
    </xdr:sp>
    <xdr:clientData/>
  </xdr:twoCellAnchor>
  <xdr:twoCellAnchor editAs="oneCell">
    <xdr:from>
      <xdr:col>1</xdr:col>
      <xdr:colOff>19050</xdr:colOff>
      <xdr:row>0</xdr:row>
      <xdr:rowOff>180975</xdr:rowOff>
    </xdr:from>
    <xdr:to>
      <xdr:col>4</xdr:col>
      <xdr:colOff>152400</xdr:colOff>
      <xdr:row>7</xdr:row>
      <xdr:rowOff>47626</xdr:rowOff>
    </xdr:to>
    <xdr:pic>
      <xdr:nvPicPr>
        <xdr:cNvPr id="5" name="Imag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80975"/>
          <a:ext cx="2247900" cy="1200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4"/>
  <sheetViews>
    <sheetView workbookViewId="0">
      <selection activeCell="T35" sqref="T35"/>
    </sheetView>
  </sheetViews>
  <sheetFormatPr baseColWidth="10" defaultColWidth="4.7109375" defaultRowHeight="15.75" x14ac:dyDescent="0.25"/>
  <cols>
    <col min="1" max="17" width="4.7109375" style="7"/>
    <col min="18" max="18" width="4.7109375" style="7" customWidth="1"/>
    <col min="19" max="16384" width="4.7109375" style="7"/>
  </cols>
  <sheetData>
    <row r="1" spans="2:29" s="2" customFormat="1" ht="16.5" thickBot="1" x14ac:dyDescent="0.3">
      <c r="B1" s="1" t="s">
        <v>0</v>
      </c>
    </row>
    <row r="2" spans="2:29" s="2" customFormat="1" x14ac:dyDescent="0.25">
      <c r="B2" s="200" t="s">
        <v>1</v>
      </c>
      <c r="C2" s="187"/>
      <c r="D2" s="187"/>
      <c r="E2" s="201" t="s">
        <v>2</v>
      </c>
      <c r="F2" s="201"/>
      <c r="G2" s="201"/>
      <c r="H2" s="201"/>
      <c r="I2" s="201"/>
      <c r="J2" s="201"/>
      <c r="K2" s="201"/>
      <c r="L2" s="201"/>
      <c r="M2" s="201"/>
      <c r="N2" s="201"/>
      <c r="O2" s="185" t="s">
        <v>3</v>
      </c>
      <c r="P2" s="185"/>
      <c r="Q2" s="202">
        <v>44287</v>
      </c>
      <c r="R2" s="202"/>
      <c r="S2" s="203"/>
    </row>
    <row r="3" spans="2:29" s="2" customFormat="1" x14ac:dyDescent="0.25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spans="2:29" s="2" customFormat="1" x14ac:dyDescent="0.25">
      <c r="B4" s="204" t="s">
        <v>4</v>
      </c>
      <c r="C4" s="174"/>
      <c r="D4" s="174"/>
      <c r="E4" s="205">
        <v>300</v>
      </c>
      <c r="F4" s="205"/>
      <c r="G4" s="205"/>
      <c r="H4" s="205"/>
      <c r="I4" s="205"/>
      <c r="J4" s="205"/>
      <c r="K4" s="181" t="s">
        <v>5</v>
      </c>
      <c r="L4" s="181"/>
      <c r="M4" s="205" t="s">
        <v>6</v>
      </c>
      <c r="N4" s="205"/>
      <c r="O4" s="205"/>
      <c r="P4" s="205"/>
      <c r="Q4" s="205"/>
      <c r="R4" s="205"/>
      <c r="S4" s="206"/>
      <c r="T4" s="6"/>
      <c r="U4" s="6"/>
      <c r="V4" s="6"/>
      <c r="W4" s="6"/>
      <c r="X4" s="6"/>
      <c r="Y4" s="6"/>
      <c r="Z4" s="7"/>
    </row>
    <row r="5" spans="2:29" s="2" customFormat="1" ht="16.5" thickBot="1" x14ac:dyDescent="0.3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93"/>
      <c r="U5" s="193"/>
      <c r="V5" s="193"/>
      <c r="W5" s="193"/>
      <c r="X5" s="193"/>
      <c r="Y5" s="193"/>
      <c r="Z5" s="193"/>
      <c r="AA5" s="193"/>
      <c r="AB5" s="193"/>
    </row>
    <row r="6" spans="2:29" s="2" customFormat="1" ht="16.5" thickBot="1" x14ac:dyDescent="0.3">
      <c r="B6" s="194" t="s">
        <v>7</v>
      </c>
      <c r="C6" s="195"/>
      <c r="D6" s="196" t="s">
        <v>8</v>
      </c>
      <c r="E6" s="195"/>
      <c r="F6" s="195"/>
      <c r="G6" s="195"/>
      <c r="H6" s="195"/>
      <c r="I6" s="195"/>
      <c r="J6" s="197"/>
      <c r="K6" s="195" t="s">
        <v>9</v>
      </c>
      <c r="L6" s="195"/>
      <c r="M6" s="195"/>
      <c r="N6" s="196" t="s">
        <v>10</v>
      </c>
      <c r="O6" s="195"/>
      <c r="P6" s="197"/>
      <c r="Q6" s="195" t="s">
        <v>11</v>
      </c>
      <c r="R6" s="195"/>
      <c r="S6" s="198"/>
      <c r="T6" s="199" t="s">
        <v>195</v>
      </c>
      <c r="U6" s="199"/>
      <c r="V6" s="199"/>
      <c r="W6" s="199" t="s">
        <v>196</v>
      </c>
      <c r="X6" s="199"/>
      <c r="Y6" s="199"/>
      <c r="Z6" s="199" t="s">
        <v>197</v>
      </c>
      <c r="AA6" s="199"/>
      <c r="AB6" s="199"/>
    </row>
    <row r="7" spans="2:29" x14ac:dyDescent="0.25">
      <c r="B7" s="184"/>
      <c r="C7" s="185"/>
      <c r="D7" s="186" t="s">
        <v>12</v>
      </c>
      <c r="E7" s="187"/>
      <c r="F7" s="187"/>
      <c r="G7" s="187"/>
      <c r="H7" s="187"/>
      <c r="I7" s="187"/>
      <c r="J7" s="188"/>
      <c r="K7" s="189"/>
      <c r="L7" s="189"/>
      <c r="M7" s="189"/>
      <c r="N7" s="190"/>
      <c r="O7" s="189"/>
      <c r="P7" s="191"/>
      <c r="Q7" s="189">
        <f t="shared" ref="Q7:Q24" si="0">SUM(T7:AB7)</f>
        <v>5250000</v>
      </c>
      <c r="R7" s="189"/>
      <c r="S7" s="192"/>
      <c r="T7" s="178">
        <v>5250000</v>
      </c>
      <c r="U7" s="178"/>
      <c r="V7" s="178"/>
      <c r="W7" s="179"/>
      <c r="X7" s="179"/>
      <c r="Y7" s="179"/>
      <c r="Z7" s="179"/>
      <c r="AA7" s="179"/>
      <c r="AB7" s="179"/>
      <c r="AC7" s="11"/>
    </row>
    <row r="8" spans="2:29" x14ac:dyDescent="0.25">
      <c r="B8" s="180"/>
      <c r="C8" s="181"/>
      <c r="D8" s="173" t="s">
        <v>13</v>
      </c>
      <c r="E8" s="174"/>
      <c r="F8" s="174"/>
      <c r="G8" s="174"/>
      <c r="H8" s="174"/>
      <c r="I8" s="174"/>
      <c r="J8" s="175"/>
      <c r="K8" s="176"/>
      <c r="L8" s="176"/>
      <c r="M8" s="176"/>
      <c r="N8" s="182"/>
      <c r="O8" s="176"/>
      <c r="P8" s="183"/>
      <c r="Q8" s="176">
        <f t="shared" si="0"/>
        <v>4250000</v>
      </c>
      <c r="R8" s="176"/>
      <c r="S8" s="177"/>
      <c r="T8" s="178"/>
      <c r="U8" s="178"/>
      <c r="V8" s="178"/>
      <c r="W8" s="179">
        <v>4250000</v>
      </c>
      <c r="X8" s="179"/>
      <c r="Y8" s="179"/>
      <c r="Z8" s="179"/>
      <c r="AA8" s="179"/>
      <c r="AB8" s="179"/>
      <c r="AC8" s="12"/>
    </row>
    <row r="9" spans="2:29" x14ac:dyDescent="0.25">
      <c r="B9" s="180"/>
      <c r="C9" s="181"/>
      <c r="D9" s="173" t="s">
        <v>14</v>
      </c>
      <c r="E9" s="174"/>
      <c r="F9" s="174"/>
      <c r="G9" s="174"/>
      <c r="H9" s="174"/>
      <c r="I9" s="174"/>
      <c r="J9" s="175"/>
      <c r="K9" s="176"/>
      <c r="L9" s="176"/>
      <c r="M9" s="176"/>
      <c r="N9" s="182"/>
      <c r="O9" s="176"/>
      <c r="P9" s="183"/>
      <c r="Q9" s="176">
        <f t="shared" si="0"/>
        <v>1750000</v>
      </c>
      <c r="R9" s="176"/>
      <c r="S9" s="177"/>
      <c r="T9" s="178"/>
      <c r="U9" s="178"/>
      <c r="V9" s="178"/>
      <c r="W9" s="179"/>
      <c r="X9" s="179"/>
      <c r="Y9" s="179"/>
      <c r="Z9" s="179">
        <v>1750000</v>
      </c>
      <c r="AA9" s="179"/>
      <c r="AB9" s="179"/>
      <c r="AC9" s="12"/>
    </row>
    <row r="10" spans="2:29" x14ac:dyDescent="0.25">
      <c r="B10" s="180"/>
      <c r="C10" s="181"/>
      <c r="D10" s="173" t="s">
        <v>15</v>
      </c>
      <c r="E10" s="174"/>
      <c r="F10" s="174"/>
      <c r="G10" s="174"/>
      <c r="H10" s="174"/>
      <c r="I10" s="174"/>
      <c r="J10" s="175"/>
      <c r="K10" s="176"/>
      <c r="L10" s="176"/>
      <c r="M10" s="176"/>
      <c r="N10" s="182"/>
      <c r="O10" s="176"/>
      <c r="P10" s="183"/>
      <c r="Q10" s="176">
        <f t="shared" si="0"/>
        <v>11250000</v>
      </c>
      <c r="R10" s="176"/>
      <c r="S10" s="177"/>
      <c r="T10" s="178">
        <f>SUM(T7:V9)</f>
        <v>5250000</v>
      </c>
      <c r="U10" s="178"/>
      <c r="V10" s="178"/>
      <c r="W10" s="178">
        <f>SUM(W7:Y9)</f>
        <v>4250000</v>
      </c>
      <c r="X10" s="178"/>
      <c r="Y10" s="178"/>
      <c r="Z10" s="178">
        <f>SUM(Z7:AB9)</f>
        <v>1750000</v>
      </c>
      <c r="AA10" s="178"/>
      <c r="AB10" s="178"/>
      <c r="AC10" s="12"/>
    </row>
    <row r="11" spans="2:29" x14ac:dyDescent="0.25">
      <c r="B11" s="180"/>
      <c r="C11" s="181"/>
      <c r="D11" s="173" t="s">
        <v>16</v>
      </c>
      <c r="E11" s="174"/>
      <c r="F11" s="174"/>
      <c r="G11" s="174"/>
      <c r="H11" s="174"/>
      <c r="I11" s="174"/>
      <c r="J11" s="175"/>
      <c r="K11" s="176"/>
      <c r="L11" s="176"/>
      <c r="M11" s="176"/>
      <c r="N11" s="182"/>
      <c r="O11" s="176"/>
      <c r="P11" s="183"/>
      <c r="Q11" s="176">
        <f t="shared" si="0"/>
        <v>-1250000</v>
      </c>
      <c r="R11" s="176"/>
      <c r="S11" s="177"/>
      <c r="T11" s="178">
        <f>-(T10*1250000)/Q10</f>
        <v>-583333.33333333337</v>
      </c>
      <c r="U11" s="178"/>
      <c r="V11" s="178"/>
      <c r="W11" s="178">
        <f>-(W10*1250000)/Q10</f>
        <v>-472222.22222222225</v>
      </c>
      <c r="X11" s="178"/>
      <c r="Y11" s="178"/>
      <c r="Z11" s="178">
        <f>-(Z10*1250000)/Q10</f>
        <v>-194444.44444444444</v>
      </c>
      <c r="AA11" s="178"/>
      <c r="AB11" s="178"/>
      <c r="AC11" s="12"/>
    </row>
    <row r="12" spans="2:29" x14ac:dyDescent="0.25">
      <c r="B12" s="180"/>
      <c r="C12" s="181"/>
      <c r="D12" s="173" t="s">
        <v>17</v>
      </c>
      <c r="E12" s="174"/>
      <c r="F12" s="174"/>
      <c r="G12" s="174"/>
      <c r="H12" s="174"/>
      <c r="I12" s="174"/>
      <c r="J12" s="175"/>
      <c r="K12" s="176"/>
      <c r="L12" s="176"/>
      <c r="M12" s="176"/>
      <c r="N12" s="182"/>
      <c r="O12" s="176"/>
      <c r="P12" s="183"/>
      <c r="Q12" s="176">
        <f t="shared" si="0"/>
        <v>10000000</v>
      </c>
      <c r="R12" s="176"/>
      <c r="S12" s="177"/>
      <c r="T12" s="178">
        <f>SUM(T10:V11)</f>
        <v>4666666.666666667</v>
      </c>
      <c r="U12" s="178"/>
      <c r="V12" s="178"/>
      <c r="W12" s="178">
        <f>SUM(W10:Y11)</f>
        <v>3777777.777777778</v>
      </c>
      <c r="X12" s="178"/>
      <c r="Y12" s="178"/>
      <c r="Z12" s="178">
        <f>SUM(Z10:AB11)</f>
        <v>1555555.5555555555</v>
      </c>
      <c r="AA12" s="178"/>
      <c r="AB12" s="178"/>
      <c r="AC12" s="12"/>
    </row>
    <row r="13" spans="2:29" x14ac:dyDescent="0.25">
      <c r="B13" s="180"/>
      <c r="C13" s="181"/>
      <c r="D13" s="173" t="s">
        <v>18</v>
      </c>
      <c r="E13" s="174"/>
      <c r="F13" s="174"/>
      <c r="G13" s="174"/>
      <c r="H13" s="174"/>
      <c r="I13" s="174"/>
      <c r="J13" s="175"/>
      <c r="K13" s="176"/>
      <c r="L13" s="176"/>
      <c r="M13" s="176"/>
      <c r="N13" s="182"/>
      <c r="O13" s="176"/>
      <c r="P13" s="183"/>
      <c r="Q13" s="176">
        <f t="shared" si="0"/>
        <v>-100000</v>
      </c>
      <c r="R13" s="176"/>
      <c r="S13" s="177"/>
      <c r="T13" s="178">
        <f>-T12*1%</f>
        <v>-46666.666666666672</v>
      </c>
      <c r="U13" s="178"/>
      <c r="V13" s="178"/>
      <c r="W13" s="178">
        <f>-W12*1%</f>
        <v>-37777.777777777781</v>
      </c>
      <c r="X13" s="178"/>
      <c r="Y13" s="178"/>
      <c r="Z13" s="178">
        <f>-Z12*1%</f>
        <v>-15555.555555555555</v>
      </c>
      <c r="AA13" s="178"/>
      <c r="AB13" s="178"/>
      <c r="AC13" s="12"/>
    </row>
    <row r="14" spans="2:29" x14ac:dyDescent="0.25">
      <c r="B14" s="180"/>
      <c r="C14" s="181"/>
      <c r="D14" s="173" t="s">
        <v>19</v>
      </c>
      <c r="E14" s="174"/>
      <c r="F14" s="174"/>
      <c r="G14" s="174"/>
      <c r="H14" s="174"/>
      <c r="I14" s="174"/>
      <c r="J14" s="175"/>
      <c r="K14" s="176"/>
      <c r="L14" s="176"/>
      <c r="M14" s="176"/>
      <c r="N14" s="182"/>
      <c r="O14" s="176"/>
      <c r="P14" s="183"/>
      <c r="Q14" s="176">
        <f t="shared" si="0"/>
        <v>9900000</v>
      </c>
      <c r="R14" s="176"/>
      <c r="S14" s="177"/>
      <c r="T14" s="178">
        <f>SUM(T12:V13)</f>
        <v>4620000</v>
      </c>
      <c r="U14" s="178"/>
      <c r="V14" s="178"/>
      <c r="W14" s="178">
        <f>SUM(W12:Y13)</f>
        <v>3740000</v>
      </c>
      <c r="X14" s="178"/>
      <c r="Y14" s="178"/>
      <c r="Z14" s="178">
        <f>SUM(Z12:AB13)</f>
        <v>1540000</v>
      </c>
      <c r="AA14" s="178"/>
      <c r="AB14" s="178"/>
      <c r="AC14" s="12"/>
    </row>
    <row r="15" spans="2:29" x14ac:dyDescent="0.25">
      <c r="B15" s="180"/>
      <c r="C15" s="181"/>
      <c r="D15" s="173" t="s">
        <v>20</v>
      </c>
      <c r="E15" s="174"/>
      <c r="F15" s="174"/>
      <c r="G15" s="174"/>
      <c r="H15" s="174"/>
      <c r="I15" s="174"/>
      <c r="J15" s="175"/>
      <c r="K15" s="176"/>
      <c r="L15" s="176"/>
      <c r="M15" s="176"/>
      <c r="N15" s="182"/>
      <c r="O15" s="176"/>
      <c r="P15" s="183"/>
      <c r="Q15" s="176">
        <f t="shared" si="0"/>
        <v>-198000</v>
      </c>
      <c r="R15" s="176"/>
      <c r="S15" s="177"/>
      <c r="T15" s="178">
        <f>-T14*2%</f>
        <v>-92400</v>
      </c>
      <c r="U15" s="178"/>
      <c r="V15" s="178"/>
      <c r="W15" s="178">
        <f>-W14*2%</f>
        <v>-74800</v>
      </c>
      <c r="X15" s="178"/>
      <c r="Y15" s="178"/>
      <c r="Z15" s="178">
        <f>-Z14*2%</f>
        <v>-30800</v>
      </c>
      <c r="AA15" s="178"/>
      <c r="AB15" s="178"/>
      <c r="AC15" s="12"/>
    </row>
    <row r="16" spans="2:29" x14ac:dyDescent="0.25">
      <c r="B16" s="180"/>
      <c r="C16" s="181"/>
      <c r="D16" s="173" t="s">
        <v>21</v>
      </c>
      <c r="E16" s="174"/>
      <c r="F16" s="174"/>
      <c r="G16" s="174"/>
      <c r="H16" s="174"/>
      <c r="I16" s="174"/>
      <c r="J16" s="175"/>
      <c r="K16" s="176"/>
      <c r="L16" s="176"/>
      <c r="M16" s="176"/>
      <c r="N16" s="182"/>
      <c r="O16" s="176"/>
      <c r="P16" s="183"/>
      <c r="Q16" s="176">
        <f t="shared" si="0"/>
        <v>9702000</v>
      </c>
      <c r="R16" s="176"/>
      <c r="S16" s="177"/>
      <c r="T16" s="178">
        <f>SUM(T14:V15)</f>
        <v>4527600</v>
      </c>
      <c r="U16" s="178"/>
      <c r="V16" s="178"/>
      <c r="W16" s="178">
        <f>SUM(W14:Y15)</f>
        <v>3665200</v>
      </c>
      <c r="X16" s="178"/>
      <c r="Y16" s="178"/>
      <c r="Z16" s="178">
        <f>SUM(Z14:AB15)</f>
        <v>1509200</v>
      </c>
      <c r="AA16" s="178"/>
      <c r="AB16" s="178"/>
      <c r="AC16" s="12"/>
    </row>
    <row r="17" spans="2:29" x14ac:dyDescent="0.25">
      <c r="B17" s="180"/>
      <c r="C17" s="181"/>
      <c r="D17" s="173" t="s">
        <v>22</v>
      </c>
      <c r="E17" s="174"/>
      <c r="F17" s="174"/>
      <c r="G17" s="174"/>
      <c r="H17" s="174"/>
      <c r="I17" s="174"/>
      <c r="J17" s="175"/>
      <c r="K17" s="176"/>
      <c r="L17" s="176"/>
      <c r="M17" s="176"/>
      <c r="N17" s="182"/>
      <c r="O17" s="176"/>
      <c r="P17" s="183"/>
      <c r="Q17" s="176">
        <f t="shared" si="0"/>
        <v>-291060</v>
      </c>
      <c r="R17" s="176"/>
      <c r="S17" s="177"/>
      <c r="T17" s="178">
        <f>-T16*3%</f>
        <v>-135828</v>
      </c>
      <c r="U17" s="178"/>
      <c r="V17" s="178"/>
      <c r="W17" s="178">
        <f>-W16*3%</f>
        <v>-109956</v>
      </c>
      <c r="X17" s="178"/>
      <c r="Y17" s="178"/>
      <c r="Z17" s="178">
        <f>-Z16*3%</f>
        <v>-45276</v>
      </c>
      <c r="AA17" s="178"/>
      <c r="AB17" s="178"/>
      <c r="AC17" s="12"/>
    </row>
    <row r="18" spans="2:29" x14ac:dyDescent="0.25">
      <c r="B18" s="180"/>
      <c r="C18" s="181"/>
      <c r="D18" s="173" t="s">
        <v>23</v>
      </c>
      <c r="E18" s="174"/>
      <c r="F18" s="174"/>
      <c r="G18" s="174"/>
      <c r="H18" s="174"/>
      <c r="I18" s="174"/>
      <c r="J18" s="175"/>
      <c r="K18" s="176"/>
      <c r="L18" s="176"/>
      <c r="M18" s="176"/>
      <c r="N18" s="182"/>
      <c r="O18" s="176"/>
      <c r="P18" s="183"/>
      <c r="Q18" s="176">
        <f t="shared" si="0"/>
        <v>9410940</v>
      </c>
      <c r="R18" s="176"/>
      <c r="S18" s="177"/>
      <c r="T18" s="178">
        <f>SUM(T16:V17)</f>
        <v>4391772</v>
      </c>
      <c r="U18" s="178"/>
      <c r="V18" s="178"/>
      <c r="W18" s="178">
        <f>SUM(W16:Y17)</f>
        <v>3555244</v>
      </c>
      <c r="X18" s="178"/>
      <c r="Y18" s="178"/>
      <c r="Z18" s="178">
        <f>SUM(Z16:AB17)</f>
        <v>1463924</v>
      </c>
      <c r="AA18" s="178"/>
      <c r="AB18" s="178"/>
      <c r="AC18" s="12"/>
    </row>
    <row r="19" spans="2:29" s="13" customFormat="1" x14ac:dyDescent="0.25">
      <c r="B19" s="180"/>
      <c r="C19" s="181"/>
      <c r="D19" s="173" t="s">
        <v>24</v>
      </c>
      <c r="E19" s="174"/>
      <c r="F19" s="174"/>
      <c r="G19" s="174"/>
      <c r="H19" s="174"/>
      <c r="I19" s="174"/>
      <c r="J19" s="175"/>
      <c r="K19" s="176"/>
      <c r="L19" s="176"/>
      <c r="M19" s="176"/>
      <c r="N19" s="182"/>
      <c r="O19" s="176"/>
      <c r="P19" s="183"/>
      <c r="Q19" s="176">
        <f t="shared" si="0"/>
        <v>500000</v>
      </c>
      <c r="R19" s="176"/>
      <c r="S19" s="177"/>
      <c r="T19" s="178">
        <f>(T18*500000)/Q18</f>
        <v>233333.33333333334</v>
      </c>
      <c r="U19" s="178"/>
      <c r="V19" s="178"/>
      <c r="W19" s="178">
        <f>(W18*500000)/Q18</f>
        <v>188888.88888888888</v>
      </c>
      <c r="X19" s="178"/>
      <c r="Y19" s="178"/>
      <c r="Z19" s="178">
        <f>(Z18*500000)/Q18</f>
        <v>77777.777777777781</v>
      </c>
      <c r="AA19" s="178"/>
      <c r="AB19" s="178"/>
      <c r="AC19" s="12"/>
    </row>
    <row r="20" spans="2:29" x14ac:dyDescent="0.25">
      <c r="B20" s="180"/>
      <c r="C20" s="181"/>
      <c r="D20" s="173" t="s">
        <v>25</v>
      </c>
      <c r="E20" s="174"/>
      <c r="F20" s="174"/>
      <c r="G20" s="174"/>
      <c r="H20" s="174"/>
      <c r="I20" s="174"/>
      <c r="J20" s="175"/>
      <c r="K20" s="176"/>
      <c r="L20" s="176"/>
      <c r="M20" s="176"/>
      <c r="N20" s="182"/>
      <c r="O20" s="176"/>
      <c r="P20" s="183"/>
      <c r="Q20" s="176">
        <f t="shared" si="0"/>
        <v>9910940</v>
      </c>
      <c r="R20" s="176"/>
      <c r="S20" s="177"/>
      <c r="T20" s="178">
        <f>SUM(T18:V19)</f>
        <v>4625105.333333333</v>
      </c>
      <c r="U20" s="178"/>
      <c r="V20" s="178"/>
      <c r="W20" s="178">
        <f>SUM(W18:Y19)</f>
        <v>3744132.888888889</v>
      </c>
      <c r="X20" s="178"/>
      <c r="Y20" s="178"/>
      <c r="Z20" s="178">
        <f>SUM(Z18:AB19)</f>
        <v>1541701.7777777778</v>
      </c>
      <c r="AA20" s="178"/>
      <c r="AB20" s="178"/>
      <c r="AC20" s="12"/>
    </row>
    <row r="21" spans="2:29" s="13" customFormat="1" x14ac:dyDescent="0.25">
      <c r="B21" s="180"/>
      <c r="C21" s="181"/>
      <c r="D21" s="173" t="s">
        <v>26</v>
      </c>
      <c r="E21" s="174"/>
      <c r="F21" s="174"/>
      <c r="G21" s="174"/>
      <c r="H21" s="174"/>
      <c r="I21" s="174"/>
      <c r="J21" s="175"/>
      <c r="K21" s="176"/>
      <c r="L21" s="176"/>
      <c r="M21" s="176"/>
      <c r="N21" s="182"/>
      <c r="O21" s="176"/>
      <c r="P21" s="183"/>
      <c r="Q21" s="176">
        <f t="shared" si="0"/>
        <v>993450.24</v>
      </c>
      <c r="R21" s="176"/>
      <c r="S21" s="177"/>
      <c r="T21" s="178">
        <f>T20*0%</f>
        <v>0</v>
      </c>
      <c r="U21" s="178"/>
      <c r="V21" s="178"/>
      <c r="W21" s="179">
        <f>(W20+T19)*18%</f>
        <v>715943.92</v>
      </c>
      <c r="X21" s="179"/>
      <c r="Y21" s="179"/>
      <c r="Z21" s="179">
        <f>(Z20)*18%</f>
        <v>277506.32</v>
      </c>
      <c r="AA21" s="179"/>
      <c r="AB21" s="179"/>
      <c r="AC21" s="12"/>
    </row>
    <row r="22" spans="2:29" s="13" customFormat="1" x14ac:dyDescent="0.25">
      <c r="B22" s="14"/>
      <c r="C22" s="15"/>
      <c r="D22" s="173" t="s">
        <v>27</v>
      </c>
      <c r="E22" s="174"/>
      <c r="F22" s="174"/>
      <c r="G22" s="174"/>
      <c r="H22" s="174"/>
      <c r="I22" s="174"/>
      <c r="J22" s="175"/>
      <c r="K22" s="15"/>
      <c r="L22" s="15"/>
      <c r="M22" s="15"/>
      <c r="N22" s="16"/>
      <c r="O22" s="15"/>
      <c r="P22" s="17"/>
      <c r="Q22" s="176">
        <f t="shared" si="0"/>
        <v>3632355</v>
      </c>
      <c r="R22" s="176"/>
      <c r="S22" s="177"/>
      <c r="T22" s="178">
        <v>2100000</v>
      </c>
      <c r="U22" s="178"/>
      <c r="V22" s="178"/>
      <c r="W22" s="179"/>
      <c r="X22" s="179"/>
      <c r="Y22" s="179"/>
      <c r="Z22" s="179">
        <f>100*15323.55</f>
        <v>1532355</v>
      </c>
      <c r="AA22" s="179"/>
      <c r="AB22" s="179"/>
      <c r="AC22" s="18"/>
    </row>
    <row r="23" spans="2:29" s="13" customFormat="1" ht="16.5" thickBot="1" x14ac:dyDescent="0.3">
      <c r="B23" s="14"/>
      <c r="C23" s="15"/>
      <c r="D23" s="173" t="s">
        <v>28</v>
      </c>
      <c r="E23" s="174"/>
      <c r="F23" s="174"/>
      <c r="G23" s="174"/>
      <c r="H23" s="174"/>
      <c r="I23" s="174"/>
      <c r="J23" s="175"/>
      <c r="K23" s="15"/>
      <c r="L23" s="15"/>
      <c r="M23" s="15"/>
      <c r="N23" s="16"/>
      <c r="O23" s="15"/>
      <c r="P23" s="17"/>
      <c r="Q23" s="176">
        <f t="shared" si="0"/>
        <v>-5814698.0959999999</v>
      </c>
      <c r="R23" s="176"/>
      <c r="S23" s="177"/>
      <c r="T23" s="178">
        <f>SUM(T20:V22)*-40%</f>
        <v>-2690042.1333333333</v>
      </c>
      <c r="U23" s="178"/>
      <c r="V23" s="178"/>
      <c r="W23" s="178">
        <f t="shared" ref="W23" si="1">SUM(W20:Y22)*-40%</f>
        <v>-1784030.7235555556</v>
      </c>
      <c r="X23" s="178"/>
      <c r="Y23" s="178"/>
      <c r="Z23" s="178">
        <f t="shared" ref="Z23" si="2">SUM(Z20:AB22)*-40%</f>
        <v>-1340625.2391111113</v>
      </c>
      <c r="AA23" s="178"/>
      <c r="AB23" s="178"/>
      <c r="AC23" s="18"/>
    </row>
    <row r="24" spans="2:29" s="13" customFormat="1" ht="16.5" thickBot="1" x14ac:dyDescent="0.3">
      <c r="B24" s="19"/>
      <c r="C24" s="20"/>
      <c r="D24" s="167" t="s">
        <v>29</v>
      </c>
      <c r="E24" s="168"/>
      <c r="F24" s="168"/>
      <c r="G24" s="168"/>
      <c r="H24" s="168"/>
      <c r="I24" s="168"/>
      <c r="J24" s="169"/>
      <c r="K24" s="20"/>
      <c r="L24" s="20"/>
      <c r="M24" s="20"/>
      <c r="N24" s="21"/>
      <c r="O24" s="20"/>
      <c r="P24" s="22"/>
      <c r="Q24" s="170">
        <f t="shared" si="0"/>
        <v>8722047.1439999994</v>
      </c>
      <c r="R24" s="170"/>
      <c r="S24" s="171"/>
      <c r="T24" s="172">
        <f>SUM(T20:V23)</f>
        <v>4035063.1999999997</v>
      </c>
      <c r="U24" s="172"/>
      <c r="V24" s="172"/>
      <c r="W24" s="172">
        <f>SUM(W20:Y23)</f>
        <v>2676046.0853333334</v>
      </c>
      <c r="X24" s="172"/>
      <c r="Y24" s="172"/>
      <c r="Z24" s="172">
        <f>SUM(Z20:AB23)</f>
        <v>2010937.8586666666</v>
      </c>
      <c r="AA24" s="172"/>
      <c r="AB24" s="172"/>
      <c r="AC24" s="23"/>
    </row>
  </sheetData>
  <mergeCells count="154">
    <mergeCell ref="B2:D2"/>
    <mergeCell ref="E2:N2"/>
    <mergeCell ref="O2:P2"/>
    <mergeCell ref="Q2:S2"/>
    <mergeCell ref="B4:D4"/>
    <mergeCell ref="E4:J4"/>
    <mergeCell ref="K4:L4"/>
    <mergeCell ref="M4:S4"/>
    <mergeCell ref="T5:V5"/>
    <mergeCell ref="W5:Y5"/>
    <mergeCell ref="Z5:AB5"/>
    <mergeCell ref="B6:C6"/>
    <mergeCell ref="D6:J6"/>
    <mergeCell ref="K6:M6"/>
    <mergeCell ref="N6:P6"/>
    <mergeCell ref="Q6:S6"/>
    <mergeCell ref="T6:V6"/>
    <mergeCell ref="W6:Y6"/>
    <mergeCell ref="Z6:AB6"/>
    <mergeCell ref="B7:C7"/>
    <mergeCell ref="D7:J7"/>
    <mergeCell ref="K7:M7"/>
    <mergeCell ref="N7:P7"/>
    <mergeCell ref="Q7:S7"/>
    <mergeCell ref="T7:V7"/>
    <mergeCell ref="W7:Y7"/>
    <mergeCell ref="Z7:AB7"/>
    <mergeCell ref="W8:Y8"/>
    <mergeCell ref="Z8:AB8"/>
    <mergeCell ref="B9:C9"/>
    <mergeCell ref="D9:J9"/>
    <mergeCell ref="K9:M9"/>
    <mergeCell ref="N9:P9"/>
    <mergeCell ref="Q9:S9"/>
    <mergeCell ref="T9:V9"/>
    <mergeCell ref="W9:Y9"/>
    <mergeCell ref="Z9:AB9"/>
    <mergeCell ref="B8:C8"/>
    <mergeCell ref="D8:J8"/>
    <mergeCell ref="K8:M8"/>
    <mergeCell ref="N8:P8"/>
    <mergeCell ref="Q8:S8"/>
    <mergeCell ref="T8:V8"/>
    <mergeCell ref="W10:Y10"/>
    <mergeCell ref="Z10:AB10"/>
    <mergeCell ref="B11:C11"/>
    <mergeCell ref="D11:J11"/>
    <mergeCell ref="K11:M11"/>
    <mergeCell ref="N11:P11"/>
    <mergeCell ref="Q11:S11"/>
    <mergeCell ref="T11:V11"/>
    <mergeCell ref="W11:Y11"/>
    <mergeCell ref="Z11:AB11"/>
    <mergeCell ref="B10:C10"/>
    <mergeCell ref="D10:J10"/>
    <mergeCell ref="K10:M10"/>
    <mergeCell ref="N10:P10"/>
    <mergeCell ref="Q10:S10"/>
    <mergeCell ref="T10:V10"/>
    <mergeCell ref="W12:Y12"/>
    <mergeCell ref="Z12:AB12"/>
    <mergeCell ref="B13:C13"/>
    <mergeCell ref="D13:J13"/>
    <mergeCell ref="K13:M13"/>
    <mergeCell ref="N13:P13"/>
    <mergeCell ref="Q13:S13"/>
    <mergeCell ref="T13:V13"/>
    <mergeCell ref="W13:Y13"/>
    <mergeCell ref="Z13:AB13"/>
    <mergeCell ref="B12:C12"/>
    <mergeCell ref="D12:J12"/>
    <mergeCell ref="K12:M12"/>
    <mergeCell ref="N12:P12"/>
    <mergeCell ref="Q12:S12"/>
    <mergeCell ref="T12:V12"/>
    <mergeCell ref="W14:Y14"/>
    <mergeCell ref="Z14:AB14"/>
    <mergeCell ref="B15:C15"/>
    <mergeCell ref="D15:J15"/>
    <mergeCell ref="K15:M15"/>
    <mergeCell ref="N15:P15"/>
    <mergeCell ref="Q15:S15"/>
    <mergeCell ref="T15:V15"/>
    <mergeCell ref="W15:Y15"/>
    <mergeCell ref="Z15:AB15"/>
    <mergeCell ref="B14:C14"/>
    <mergeCell ref="D14:J14"/>
    <mergeCell ref="K14:M14"/>
    <mergeCell ref="N14:P14"/>
    <mergeCell ref="Q14:S14"/>
    <mergeCell ref="T14:V14"/>
    <mergeCell ref="W16:Y16"/>
    <mergeCell ref="Z16:AB16"/>
    <mergeCell ref="B17:C17"/>
    <mergeCell ref="D17:J17"/>
    <mergeCell ref="K17:M17"/>
    <mergeCell ref="N17:P17"/>
    <mergeCell ref="Q17:S17"/>
    <mergeCell ref="T17:V17"/>
    <mergeCell ref="W17:Y17"/>
    <mergeCell ref="Z17:AB17"/>
    <mergeCell ref="B16:C16"/>
    <mergeCell ref="D16:J16"/>
    <mergeCell ref="K16:M16"/>
    <mergeCell ref="N16:P16"/>
    <mergeCell ref="Q16:S16"/>
    <mergeCell ref="T16:V16"/>
    <mergeCell ref="W18:Y18"/>
    <mergeCell ref="Z18:AB18"/>
    <mergeCell ref="B19:C19"/>
    <mergeCell ref="D19:J19"/>
    <mergeCell ref="K19:M19"/>
    <mergeCell ref="N19:P19"/>
    <mergeCell ref="Q19:S19"/>
    <mergeCell ref="T19:V19"/>
    <mergeCell ref="W19:Y19"/>
    <mergeCell ref="Z19:AB19"/>
    <mergeCell ref="B18:C18"/>
    <mergeCell ref="D18:J18"/>
    <mergeCell ref="K18:M18"/>
    <mergeCell ref="N18:P18"/>
    <mergeCell ref="Q18:S18"/>
    <mergeCell ref="T18:V18"/>
    <mergeCell ref="W20:Y20"/>
    <mergeCell ref="Z20:AB20"/>
    <mergeCell ref="B21:C21"/>
    <mergeCell ref="D21:J21"/>
    <mergeCell ref="K21:M21"/>
    <mergeCell ref="N21:P21"/>
    <mergeCell ref="Q21:S21"/>
    <mergeCell ref="T21:V21"/>
    <mergeCell ref="W21:Y21"/>
    <mergeCell ref="Z21:AB21"/>
    <mergeCell ref="B20:C20"/>
    <mergeCell ref="D20:J20"/>
    <mergeCell ref="K20:M20"/>
    <mergeCell ref="N20:P20"/>
    <mergeCell ref="Q20:S20"/>
    <mergeCell ref="T20:V20"/>
    <mergeCell ref="D24:J24"/>
    <mergeCell ref="Q24:S24"/>
    <mergeCell ref="T24:V24"/>
    <mergeCell ref="W24:Y24"/>
    <mergeCell ref="Z24:AB24"/>
    <mergeCell ref="D22:J22"/>
    <mergeCell ref="Q22:S22"/>
    <mergeCell ref="T22:V22"/>
    <mergeCell ref="W22:Y22"/>
    <mergeCell ref="Z22:AB22"/>
    <mergeCell ref="D23:J23"/>
    <mergeCell ref="Q23:S23"/>
    <mergeCell ref="T23:V23"/>
    <mergeCell ref="W23:Y23"/>
    <mergeCell ref="Z23:A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40"/>
  <sheetViews>
    <sheetView tabSelected="1" topLeftCell="A19" zoomScale="110" zoomScaleNormal="110" workbookViewId="0">
      <selection activeCell="N30" sqref="N30"/>
    </sheetView>
  </sheetViews>
  <sheetFormatPr baseColWidth="10" defaultRowHeight="15" x14ac:dyDescent="0.25"/>
  <cols>
    <col min="1" max="1" width="2.7109375" customWidth="1"/>
    <col min="2" max="7" width="10.5703125" customWidth="1"/>
  </cols>
  <sheetData>
    <row r="6" spans="8:10" x14ac:dyDescent="0.25">
      <c r="H6" s="213" t="s">
        <v>208</v>
      </c>
      <c r="I6" s="213"/>
      <c r="J6" s="213"/>
    </row>
    <row r="15" spans="8:10" ht="15.75" customHeight="1" x14ac:dyDescent="0.25"/>
    <row r="16" spans="8:10" ht="15.75" customHeight="1" thickBot="1" x14ac:dyDescent="0.3"/>
    <row r="17" spans="2:14" ht="15.75" thickBot="1" x14ac:dyDescent="0.3">
      <c r="B17" s="207" t="s">
        <v>198</v>
      </c>
      <c r="C17" s="208"/>
      <c r="D17" s="208"/>
      <c r="E17" s="208"/>
      <c r="F17" s="208"/>
      <c r="G17" s="208"/>
      <c r="H17" s="114" t="s">
        <v>199</v>
      </c>
      <c r="I17" s="115" t="s">
        <v>200</v>
      </c>
      <c r="J17" s="116" t="s">
        <v>51</v>
      </c>
      <c r="K17" s="148">
        <v>1</v>
      </c>
      <c r="L17" s="148">
        <v>2</v>
      </c>
      <c r="M17" s="148">
        <v>3</v>
      </c>
      <c r="N17" s="148">
        <v>4</v>
      </c>
    </row>
    <row r="18" spans="2:14" x14ac:dyDescent="0.25">
      <c r="B18" s="117"/>
      <c r="C18" s="118"/>
      <c r="D18" s="209"/>
      <c r="E18" s="209"/>
      <c r="F18" s="209"/>
      <c r="G18" s="210"/>
      <c r="H18" s="119"/>
      <c r="I18" s="120"/>
      <c r="J18" s="150"/>
      <c r="K18" s="149"/>
      <c r="L18" s="149"/>
      <c r="M18" s="149"/>
      <c r="N18" s="149"/>
    </row>
    <row r="19" spans="2:14" x14ac:dyDescent="0.25">
      <c r="B19" s="121" t="s">
        <v>209</v>
      </c>
      <c r="C19" s="122"/>
      <c r="D19" s="123"/>
      <c r="E19" s="123"/>
      <c r="F19" s="123"/>
      <c r="G19" s="124"/>
      <c r="H19" s="125"/>
      <c r="I19" s="126"/>
      <c r="J19" s="151"/>
      <c r="K19" s="149"/>
      <c r="L19" s="149"/>
      <c r="M19" s="149"/>
      <c r="N19" s="149"/>
    </row>
    <row r="20" spans="2:14" x14ac:dyDescent="0.25">
      <c r="B20" s="157" t="s">
        <v>211</v>
      </c>
      <c r="C20" s="122"/>
      <c r="D20" s="123"/>
      <c r="E20" s="123"/>
      <c r="F20" s="123"/>
      <c r="G20" s="124"/>
      <c r="H20" s="125"/>
      <c r="I20" s="126"/>
      <c r="J20" s="151"/>
      <c r="K20" s="149"/>
      <c r="L20" s="149"/>
      <c r="M20" s="149"/>
      <c r="N20" s="149"/>
    </row>
    <row r="21" spans="2:14" x14ac:dyDescent="0.25">
      <c r="B21" s="127"/>
      <c r="C21" s="122"/>
      <c r="D21" s="123"/>
      <c r="E21" s="123"/>
      <c r="F21" s="123"/>
      <c r="G21" s="124"/>
      <c r="H21" s="125"/>
      <c r="I21" s="126"/>
      <c r="J21" s="151"/>
      <c r="K21" s="149"/>
      <c r="L21" s="149"/>
      <c r="M21" s="149"/>
      <c r="N21" s="149"/>
    </row>
    <row r="22" spans="2:14" x14ac:dyDescent="0.25">
      <c r="B22" s="121" t="s">
        <v>210</v>
      </c>
      <c r="C22" s="122"/>
      <c r="D22" s="123"/>
      <c r="E22" s="123"/>
      <c r="F22" s="123"/>
      <c r="G22" s="124"/>
      <c r="H22" s="125"/>
      <c r="I22" s="126"/>
      <c r="J22" s="151"/>
      <c r="K22" s="149"/>
      <c r="L22" s="149"/>
      <c r="M22" s="149"/>
      <c r="N22" s="149"/>
    </row>
    <row r="23" spans="2:14" x14ac:dyDescent="0.25">
      <c r="B23" s="158" t="s">
        <v>212</v>
      </c>
      <c r="C23" s="128"/>
      <c r="D23" s="128"/>
      <c r="E23" s="128"/>
      <c r="F23" s="128"/>
      <c r="G23" s="129"/>
      <c r="H23" s="125"/>
      <c r="I23" s="126"/>
      <c r="J23" s="151"/>
      <c r="L23" s="149"/>
      <c r="M23" s="149"/>
      <c r="N23" s="149"/>
    </row>
    <row r="24" spans="2:14" x14ac:dyDescent="0.25">
      <c r="B24" s="157" t="s">
        <v>213</v>
      </c>
      <c r="C24" s="122"/>
      <c r="D24" s="146"/>
      <c r="E24" s="146"/>
      <c r="F24" s="146"/>
      <c r="G24" s="147"/>
      <c r="H24" s="125"/>
      <c r="I24" s="126"/>
      <c r="J24" s="151"/>
      <c r="L24" s="149"/>
      <c r="M24" s="149"/>
      <c r="N24" s="149"/>
    </row>
    <row r="25" spans="2:14" x14ac:dyDescent="0.25">
      <c r="B25" s="157" t="s">
        <v>214</v>
      </c>
      <c r="C25" s="122"/>
      <c r="D25" s="146"/>
      <c r="E25" s="146"/>
      <c r="F25" s="146"/>
      <c r="G25" s="147"/>
      <c r="H25" s="125"/>
      <c r="I25" s="126"/>
      <c r="J25" s="151"/>
      <c r="L25" s="149"/>
      <c r="M25" s="149"/>
      <c r="N25" s="149"/>
    </row>
    <row r="26" spans="2:14" x14ac:dyDescent="0.25">
      <c r="B26" s="157" t="s">
        <v>215</v>
      </c>
      <c r="C26" s="122"/>
      <c r="D26" s="130"/>
      <c r="E26" s="130"/>
      <c r="F26" s="130"/>
      <c r="G26" s="131"/>
      <c r="H26" s="125"/>
      <c r="I26" s="126"/>
      <c r="J26" s="151"/>
      <c r="L26" s="149"/>
      <c r="M26" s="149"/>
      <c r="N26" s="149"/>
    </row>
    <row r="27" spans="2:14" x14ac:dyDescent="0.25">
      <c r="B27" s="157" t="s">
        <v>216</v>
      </c>
      <c r="C27" s="122"/>
      <c r="D27" s="130"/>
      <c r="E27" s="130"/>
      <c r="F27" s="130"/>
      <c r="G27" s="131"/>
      <c r="H27" s="125"/>
      <c r="I27" s="126"/>
      <c r="J27" s="151"/>
      <c r="L27" s="149"/>
      <c r="M27" s="149"/>
      <c r="N27" s="149"/>
    </row>
    <row r="28" spans="2:14" ht="13.5" customHeight="1" x14ac:dyDescent="0.25">
      <c r="B28" s="157" t="s">
        <v>217</v>
      </c>
      <c r="C28" s="122"/>
      <c r="D28" s="130"/>
      <c r="E28" s="130"/>
      <c r="F28" s="130"/>
      <c r="G28" s="131"/>
      <c r="H28" s="125"/>
      <c r="I28" s="126"/>
      <c r="J28" s="151"/>
      <c r="L28" s="149"/>
      <c r="M28" s="149"/>
      <c r="N28" s="149"/>
    </row>
    <row r="29" spans="2:14" x14ac:dyDescent="0.25">
      <c r="B29" s="145"/>
      <c r="C29" s="122"/>
      <c r="D29" s="130"/>
      <c r="E29" s="130"/>
      <c r="F29" s="130"/>
      <c r="G29" s="131"/>
      <c r="H29" s="125"/>
      <c r="I29" s="126"/>
      <c r="J29" s="151"/>
      <c r="K29" s="149"/>
      <c r="L29" s="149"/>
      <c r="M29" s="149"/>
      <c r="N29" s="149"/>
    </row>
    <row r="30" spans="2:14" ht="15.75" thickBot="1" x14ac:dyDescent="0.3">
      <c r="B30" s="132"/>
      <c r="C30" s="133"/>
      <c r="D30" s="134"/>
      <c r="E30" s="134"/>
      <c r="F30" s="134"/>
      <c r="G30" s="135"/>
      <c r="H30" s="136"/>
      <c r="I30" s="137"/>
      <c r="J30" s="152"/>
      <c r="K30" s="149"/>
      <c r="L30" s="149"/>
      <c r="M30" s="149"/>
      <c r="N30" s="149"/>
    </row>
    <row r="31" spans="2:14" ht="15.75" thickBot="1" x14ac:dyDescent="0.3">
      <c r="B31" s="154" t="s">
        <v>207</v>
      </c>
      <c r="C31" s="139"/>
      <c r="D31" s="138"/>
      <c r="E31" s="138"/>
      <c r="F31" s="159" t="s">
        <v>201</v>
      </c>
      <c r="G31" s="140"/>
      <c r="H31" s="155"/>
      <c r="I31" s="211">
        <f>SUM(K31:N31)</f>
        <v>0</v>
      </c>
      <c r="J31" s="212"/>
      <c r="K31" s="149">
        <f>SUM(K20:K30)</f>
        <v>0</v>
      </c>
      <c r="L31" s="149">
        <f>SUM(L20:L30)</f>
        <v>0</v>
      </c>
      <c r="M31" s="149"/>
      <c r="N31" s="149"/>
    </row>
    <row r="32" spans="2:14" x14ac:dyDescent="0.25">
      <c r="B32" s="165" t="s">
        <v>218</v>
      </c>
      <c r="C32" s="166"/>
      <c r="D32" s="164" t="s">
        <v>219</v>
      </c>
      <c r="E32" s="153"/>
      <c r="F32" s="160" t="s">
        <v>16</v>
      </c>
      <c r="G32" s="141"/>
      <c r="H32" s="156"/>
      <c r="I32" s="326">
        <f>SUM(K32:N32)</f>
        <v>0</v>
      </c>
      <c r="J32" s="330"/>
      <c r="K32" s="149"/>
      <c r="L32" s="149"/>
      <c r="M32" s="149"/>
      <c r="N32" s="149"/>
    </row>
    <row r="33" spans="2:14" x14ac:dyDescent="0.25">
      <c r="B33" s="165" t="s">
        <v>220</v>
      </c>
      <c r="C33" s="166"/>
      <c r="D33" s="162" t="s">
        <v>221</v>
      </c>
      <c r="E33" s="138"/>
      <c r="F33" s="159" t="s">
        <v>202</v>
      </c>
      <c r="G33" s="140"/>
      <c r="H33" s="155"/>
      <c r="I33" s="327">
        <f t="shared" ref="I32:I39" si="0">SUM(K33:N33)</f>
        <v>0</v>
      </c>
      <c r="J33" s="331"/>
      <c r="K33" s="149"/>
      <c r="L33" s="149"/>
      <c r="M33" s="149"/>
      <c r="N33" s="149"/>
    </row>
    <row r="34" spans="2:14" x14ac:dyDescent="0.25">
      <c r="B34" s="165" t="s">
        <v>222</v>
      </c>
      <c r="C34" s="166"/>
      <c r="D34" s="163" t="s">
        <v>223</v>
      </c>
      <c r="E34" s="142"/>
      <c r="F34" s="160" t="s">
        <v>224</v>
      </c>
      <c r="G34" s="140"/>
      <c r="H34" s="155"/>
      <c r="I34" s="328">
        <f>SUM(K34:N34)</f>
        <v>0</v>
      </c>
      <c r="J34" s="332"/>
      <c r="K34" s="149"/>
      <c r="L34" s="149"/>
      <c r="M34" s="149"/>
      <c r="N34" s="149"/>
    </row>
    <row r="35" spans="2:14" x14ac:dyDescent="0.25">
      <c r="B35" s="138"/>
      <c r="C35" s="139"/>
      <c r="D35" s="139"/>
      <c r="E35" s="142"/>
      <c r="F35" s="159" t="s">
        <v>203</v>
      </c>
      <c r="G35" s="140"/>
      <c r="H35" s="155"/>
      <c r="I35" s="327">
        <f t="shared" si="0"/>
        <v>0</v>
      </c>
      <c r="J35" s="331"/>
      <c r="K35" s="149"/>
      <c r="L35" s="149"/>
      <c r="M35" s="149"/>
      <c r="N35" s="149"/>
    </row>
    <row r="36" spans="2:14" x14ac:dyDescent="0.25">
      <c r="B36" s="138"/>
      <c r="C36" s="139"/>
      <c r="D36" s="139"/>
      <c r="E36" s="142"/>
      <c r="F36" s="160" t="s">
        <v>150</v>
      </c>
      <c r="G36" s="140"/>
      <c r="H36" s="155"/>
      <c r="I36" s="328">
        <f t="shared" si="0"/>
        <v>0</v>
      </c>
      <c r="J36" s="332"/>
      <c r="K36" s="149"/>
      <c r="L36" s="149"/>
      <c r="M36" s="149"/>
      <c r="N36" s="149"/>
    </row>
    <row r="37" spans="2:14" x14ac:dyDescent="0.25">
      <c r="B37" s="142"/>
      <c r="C37" s="139"/>
      <c r="D37" s="139"/>
      <c r="E37" s="142"/>
      <c r="F37" s="159" t="s">
        <v>204</v>
      </c>
      <c r="G37" s="140"/>
      <c r="H37" s="155"/>
      <c r="I37" s="327">
        <f t="shared" si="0"/>
        <v>0</v>
      </c>
      <c r="J37" s="331"/>
      <c r="K37" s="149"/>
      <c r="L37" s="149"/>
      <c r="M37" s="149"/>
      <c r="N37" s="149"/>
    </row>
    <row r="38" spans="2:14" ht="15.75" thickBot="1" x14ac:dyDescent="0.3">
      <c r="B38" s="138"/>
      <c r="C38" s="139"/>
      <c r="D38" s="139"/>
      <c r="E38" s="138"/>
      <c r="F38" s="160" t="s">
        <v>205</v>
      </c>
      <c r="G38" s="141"/>
      <c r="H38" s="156"/>
      <c r="I38" s="329">
        <f t="shared" si="0"/>
        <v>0</v>
      </c>
      <c r="J38" s="333"/>
      <c r="K38" s="149"/>
      <c r="L38" s="149"/>
      <c r="M38" s="149"/>
      <c r="N38" s="149"/>
    </row>
    <row r="39" spans="2:14" ht="15.75" thickBot="1" x14ac:dyDescent="0.3">
      <c r="B39" s="143"/>
      <c r="C39" s="139"/>
      <c r="D39" s="139"/>
      <c r="E39" s="143"/>
      <c r="F39" s="161" t="s">
        <v>206</v>
      </c>
      <c r="G39" s="144"/>
      <c r="H39" s="144"/>
      <c r="I39" s="325">
        <f t="shared" si="0"/>
        <v>0</v>
      </c>
      <c r="J39" s="334"/>
      <c r="K39" s="149"/>
      <c r="L39" s="149"/>
      <c r="M39" s="149"/>
      <c r="N39" s="149"/>
    </row>
    <row r="40" spans="2:14" x14ac:dyDescent="0.25">
      <c r="K40" s="149"/>
    </row>
  </sheetData>
  <mergeCells count="12">
    <mergeCell ref="H6:J6"/>
    <mergeCell ref="I33:J33"/>
    <mergeCell ref="I34:J34"/>
    <mergeCell ref="I35:J35"/>
    <mergeCell ref="I36:J36"/>
    <mergeCell ref="B17:G17"/>
    <mergeCell ref="D18:G18"/>
    <mergeCell ref="I31:J31"/>
    <mergeCell ref="I32:J32"/>
    <mergeCell ref="I39:J39"/>
    <mergeCell ref="I37:J37"/>
    <mergeCell ref="I38:J38"/>
  </mergeCells>
  <pageMargins left="0" right="0" top="0.59055118110236227" bottom="0.39370078740157483" header="0.19685039370078741" footer="0.19685039370078741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A31" zoomScale="130" zoomScaleNormal="130" workbookViewId="0">
      <selection activeCell="B26" sqref="B26:U28"/>
    </sheetView>
  </sheetViews>
  <sheetFormatPr baseColWidth="10" defaultColWidth="4.7109375" defaultRowHeight="15.75" x14ac:dyDescent="0.25"/>
  <cols>
    <col min="1" max="8" width="4.7109375" style="24"/>
    <col min="9" max="9" width="4.7109375" style="24" customWidth="1"/>
    <col min="10" max="18" width="4.7109375" style="24"/>
    <col min="19" max="19" width="4.7109375" style="24" customWidth="1"/>
    <col min="20" max="16384" width="4.7109375" style="24"/>
  </cols>
  <sheetData>
    <row r="1" spans="2:35" x14ac:dyDescent="0.25">
      <c r="B1" s="250" t="s">
        <v>78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</row>
    <row r="2" spans="2:35" x14ac:dyDescent="0.25"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</row>
    <row r="3" spans="2:35" x14ac:dyDescent="0.25"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</row>
    <row r="4" spans="2:35" ht="16.5" thickBot="1" x14ac:dyDescent="0.3">
      <c r="B4" s="231" t="s">
        <v>52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</row>
    <row r="5" spans="2:35" ht="16.5" thickBot="1" x14ac:dyDescent="0.3">
      <c r="B5" s="227" t="s">
        <v>30</v>
      </c>
      <c r="C5" s="228"/>
      <c r="D5" s="228"/>
      <c r="E5" s="228"/>
      <c r="F5" s="228"/>
      <c r="G5" s="228"/>
      <c r="H5" s="228"/>
      <c r="I5" s="228"/>
      <c r="J5" s="228"/>
      <c r="K5" s="228"/>
      <c r="L5" s="229" t="s">
        <v>31</v>
      </c>
      <c r="M5" s="228"/>
      <c r="N5" s="228"/>
      <c r="O5" s="228"/>
      <c r="P5" s="228"/>
      <c r="Q5" s="228"/>
      <c r="R5" s="228"/>
      <c r="S5" s="228"/>
      <c r="T5" s="228"/>
      <c r="U5" s="230"/>
    </row>
    <row r="6" spans="2:35" s="25" customFormat="1" x14ac:dyDescent="0.25">
      <c r="B6" s="224" t="s">
        <v>50</v>
      </c>
      <c r="C6" s="225"/>
      <c r="D6" s="225"/>
      <c r="E6" s="225"/>
      <c r="F6" s="225"/>
      <c r="G6" s="225"/>
      <c r="H6" s="225"/>
      <c r="I6" s="226" t="s">
        <v>51</v>
      </c>
      <c r="J6" s="225"/>
      <c r="K6" s="225"/>
      <c r="L6" s="226" t="s">
        <v>50</v>
      </c>
      <c r="M6" s="225"/>
      <c r="N6" s="225"/>
      <c r="O6" s="225"/>
      <c r="P6" s="225"/>
      <c r="Q6" s="225"/>
      <c r="R6" s="225"/>
      <c r="S6" s="226" t="s">
        <v>51</v>
      </c>
      <c r="T6" s="225"/>
      <c r="U6" s="232"/>
    </row>
    <row r="7" spans="2:35" s="25" customFormat="1" x14ac:dyDescent="0.25">
      <c r="B7" s="233" t="s">
        <v>32</v>
      </c>
      <c r="C7" s="234"/>
      <c r="D7" s="234"/>
      <c r="E7" s="234"/>
      <c r="F7" s="234"/>
      <c r="G7" s="234"/>
      <c r="H7" s="234"/>
      <c r="I7" s="218">
        <f>SUM(I8:K12)</f>
        <v>85634000</v>
      </c>
      <c r="J7" s="219"/>
      <c r="K7" s="219"/>
      <c r="L7" s="33" t="s">
        <v>33</v>
      </c>
      <c r="M7" s="28"/>
      <c r="N7" s="28"/>
      <c r="O7" s="28"/>
      <c r="P7" s="28"/>
      <c r="Q7" s="29"/>
      <c r="R7" s="29"/>
      <c r="S7" s="218">
        <f>SUM(S8:U11)</f>
        <v>82000000</v>
      </c>
      <c r="T7" s="219"/>
      <c r="U7" s="220"/>
      <c r="V7" s="26"/>
    </row>
    <row r="8" spans="2:35" x14ac:dyDescent="0.25">
      <c r="B8" s="235" t="s">
        <v>58</v>
      </c>
      <c r="C8" s="223"/>
      <c r="D8" s="223"/>
      <c r="E8" s="223"/>
      <c r="F8" s="223"/>
      <c r="G8" s="223"/>
      <c r="H8" s="223"/>
      <c r="I8" s="216">
        <v>8000000</v>
      </c>
      <c r="J8" s="217"/>
      <c r="K8" s="217"/>
      <c r="L8" s="34" t="s">
        <v>64</v>
      </c>
      <c r="M8" s="28"/>
      <c r="N8" s="28"/>
      <c r="O8" s="28"/>
      <c r="P8" s="28"/>
      <c r="Q8" s="28"/>
      <c r="R8" s="28"/>
      <c r="S8" s="216">
        <v>70000000</v>
      </c>
      <c r="T8" s="217"/>
      <c r="U8" s="221"/>
      <c r="V8" s="27"/>
    </row>
    <row r="9" spans="2:35" x14ac:dyDescent="0.25">
      <c r="B9" s="235" t="s">
        <v>34</v>
      </c>
      <c r="C9" s="223"/>
      <c r="D9" s="223"/>
      <c r="E9" s="223"/>
      <c r="F9" s="223"/>
      <c r="G9" s="223"/>
      <c r="H9" s="223"/>
      <c r="I9" s="216">
        <v>30000000</v>
      </c>
      <c r="J9" s="217"/>
      <c r="K9" s="217"/>
      <c r="L9" s="34" t="s">
        <v>62</v>
      </c>
      <c r="M9" s="28"/>
      <c r="N9" s="28"/>
      <c r="O9" s="28"/>
      <c r="P9" s="28"/>
      <c r="Q9" s="28"/>
      <c r="R9" s="28"/>
      <c r="S9" s="216">
        <v>7000000</v>
      </c>
      <c r="T9" s="217"/>
      <c r="U9" s="221"/>
      <c r="V9" s="6"/>
    </row>
    <row r="10" spans="2:35" x14ac:dyDescent="0.25">
      <c r="B10" s="235" t="s">
        <v>36</v>
      </c>
      <c r="C10" s="223"/>
      <c r="D10" s="223"/>
      <c r="E10" s="223"/>
      <c r="F10" s="223"/>
      <c r="G10" s="223"/>
      <c r="H10" s="223"/>
      <c r="I10" s="216">
        <v>29000000</v>
      </c>
      <c r="J10" s="217"/>
      <c r="K10" s="217"/>
      <c r="L10" s="222" t="s">
        <v>35</v>
      </c>
      <c r="M10" s="223"/>
      <c r="N10" s="223"/>
      <c r="O10" s="223"/>
      <c r="P10" s="223"/>
      <c r="Q10" s="28"/>
      <c r="R10" s="28"/>
      <c r="S10" s="216">
        <v>0</v>
      </c>
      <c r="T10" s="217"/>
      <c r="U10" s="221"/>
      <c r="V10" s="26"/>
    </row>
    <row r="11" spans="2:35" x14ac:dyDescent="0.25">
      <c r="B11" s="235" t="s">
        <v>38</v>
      </c>
      <c r="C11" s="223"/>
      <c r="D11" s="223"/>
      <c r="E11" s="223"/>
      <c r="F11" s="223"/>
      <c r="G11" s="223"/>
      <c r="H11" s="223"/>
      <c r="I11" s="216">
        <v>10264000</v>
      </c>
      <c r="J11" s="217"/>
      <c r="K11" s="217"/>
      <c r="L11" s="222" t="s">
        <v>63</v>
      </c>
      <c r="M11" s="223"/>
      <c r="N11" s="223"/>
      <c r="O11" s="223"/>
      <c r="P11" s="223"/>
      <c r="Q11" s="223"/>
      <c r="R11" s="236"/>
      <c r="S11" s="216">
        <v>5000000</v>
      </c>
      <c r="T11" s="217"/>
      <c r="U11" s="221"/>
      <c r="V11" s="27"/>
    </row>
    <row r="12" spans="2:35" x14ac:dyDescent="0.25">
      <c r="B12" s="235" t="s">
        <v>39</v>
      </c>
      <c r="C12" s="223"/>
      <c r="D12" s="223"/>
      <c r="E12" s="223"/>
      <c r="F12" s="223"/>
      <c r="G12" s="223"/>
      <c r="H12" s="223"/>
      <c r="I12" s="216">
        <v>8370000</v>
      </c>
      <c r="J12" s="217"/>
      <c r="K12" s="217"/>
      <c r="L12" s="33" t="s">
        <v>37</v>
      </c>
      <c r="M12" s="29"/>
      <c r="N12" s="29"/>
      <c r="O12" s="29"/>
      <c r="P12" s="29"/>
      <c r="Q12" s="29"/>
      <c r="R12" s="29"/>
      <c r="S12" s="218">
        <f>SUM(S13:U15)</f>
        <v>23000000</v>
      </c>
      <c r="T12" s="219"/>
      <c r="U12" s="220"/>
      <c r="V12" s="27"/>
    </row>
    <row r="13" spans="2:35" s="25" customFormat="1" x14ac:dyDescent="0.25">
      <c r="B13" s="233" t="s">
        <v>40</v>
      </c>
      <c r="C13" s="234"/>
      <c r="D13" s="234"/>
      <c r="E13" s="234"/>
      <c r="F13" s="234"/>
      <c r="G13" s="234"/>
      <c r="H13" s="234"/>
      <c r="I13" s="218">
        <f>SUM(I14:K16)</f>
        <v>20878000</v>
      </c>
      <c r="J13" s="219"/>
      <c r="K13" s="219"/>
      <c r="L13" s="222" t="s">
        <v>73</v>
      </c>
      <c r="M13" s="223"/>
      <c r="N13" s="223"/>
      <c r="O13" s="223"/>
      <c r="P13" s="223"/>
      <c r="Q13" s="28"/>
      <c r="R13" s="28"/>
      <c r="S13" s="216">
        <v>5000000</v>
      </c>
      <c r="T13" s="217"/>
      <c r="U13" s="221"/>
      <c r="V13" s="27"/>
      <c r="W13" s="29"/>
      <c r="X13" s="6"/>
      <c r="Y13" s="6"/>
      <c r="Z13" s="6"/>
      <c r="AA13" s="6"/>
      <c r="AB13" s="6"/>
      <c r="AC13" s="28"/>
      <c r="AD13" s="28"/>
      <c r="AE13" s="38"/>
      <c r="AF13" s="38"/>
      <c r="AG13" s="38"/>
      <c r="AH13" s="29"/>
      <c r="AI13" s="29"/>
    </row>
    <row r="14" spans="2:35" x14ac:dyDescent="0.25">
      <c r="B14" s="235" t="s">
        <v>53</v>
      </c>
      <c r="C14" s="223"/>
      <c r="D14" s="223"/>
      <c r="E14" s="223"/>
      <c r="F14" s="223"/>
      <c r="G14" s="223"/>
      <c r="H14" s="223"/>
      <c r="I14" s="216">
        <v>14300000</v>
      </c>
      <c r="J14" s="217"/>
      <c r="K14" s="217"/>
      <c r="L14" s="222" t="s">
        <v>41</v>
      </c>
      <c r="M14" s="223"/>
      <c r="N14" s="223"/>
      <c r="O14" s="223"/>
      <c r="P14" s="223"/>
      <c r="Q14" s="28"/>
      <c r="R14" s="28"/>
      <c r="S14" s="216">
        <v>8000000</v>
      </c>
      <c r="T14" s="217"/>
      <c r="U14" s="221"/>
      <c r="V14" s="27"/>
      <c r="W14" s="28"/>
      <c r="X14" s="6"/>
      <c r="Y14" s="6"/>
      <c r="Z14" s="6"/>
      <c r="AA14" s="6"/>
      <c r="AB14" s="6"/>
      <c r="AC14" s="29"/>
      <c r="AD14" s="29"/>
      <c r="AE14" s="38"/>
      <c r="AF14" s="38"/>
      <c r="AG14" s="38"/>
      <c r="AH14" s="28"/>
      <c r="AI14" s="28"/>
    </row>
    <row r="15" spans="2:35" x14ac:dyDescent="0.25">
      <c r="B15" s="235" t="s">
        <v>42</v>
      </c>
      <c r="C15" s="223"/>
      <c r="D15" s="223"/>
      <c r="E15" s="223"/>
      <c r="F15" s="223"/>
      <c r="G15" s="223"/>
      <c r="H15" s="223"/>
      <c r="I15" s="214">
        <v>5000000</v>
      </c>
      <c r="J15" s="215"/>
      <c r="K15" s="215"/>
      <c r="L15" s="34" t="s">
        <v>61</v>
      </c>
      <c r="M15" s="28"/>
      <c r="N15" s="28"/>
      <c r="O15" s="28"/>
      <c r="P15" s="28"/>
      <c r="Q15" s="28"/>
      <c r="R15" s="28"/>
      <c r="S15" s="216">
        <v>10000000</v>
      </c>
      <c r="T15" s="217"/>
      <c r="U15" s="221"/>
      <c r="V15" s="26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2:35" x14ac:dyDescent="0.25">
      <c r="B16" s="235" t="s">
        <v>44</v>
      </c>
      <c r="C16" s="223"/>
      <c r="D16" s="223"/>
      <c r="E16" s="223"/>
      <c r="F16" s="223"/>
      <c r="G16" s="223"/>
      <c r="H16" s="223"/>
      <c r="I16" s="214">
        <v>1578000</v>
      </c>
      <c r="J16" s="215"/>
      <c r="K16" s="215"/>
      <c r="L16" s="33" t="s">
        <v>43</v>
      </c>
      <c r="M16" s="28"/>
      <c r="N16" s="28"/>
      <c r="O16" s="28"/>
      <c r="P16" s="28"/>
      <c r="Q16" s="28"/>
      <c r="R16" s="28"/>
      <c r="S16" s="218">
        <f>SUM(S17:U19)</f>
        <v>8064000</v>
      </c>
      <c r="T16" s="219"/>
      <c r="U16" s="220"/>
      <c r="V16" s="27"/>
    </row>
    <row r="17" spans="2:22" s="25" customFormat="1" x14ac:dyDescent="0.25">
      <c r="B17" s="233" t="s">
        <v>46</v>
      </c>
      <c r="C17" s="234"/>
      <c r="D17" s="234"/>
      <c r="E17" s="234"/>
      <c r="F17" s="234"/>
      <c r="G17" s="234"/>
      <c r="H17" s="234"/>
      <c r="I17" s="218">
        <f>SUM(I18:K19)</f>
        <v>6552000</v>
      </c>
      <c r="J17" s="219"/>
      <c r="K17" s="219"/>
      <c r="L17" s="34" t="s">
        <v>45</v>
      </c>
      <c r="M17" s="28"/>
      <c r="N17" s="28"/>
      <c r="O17" s="28"/>
      <c r="P17" s="28"/>
      <c r="Q17" s="28"/>
      <c r="R17" s="28"/>
      <c r="S17" s="216">
        <v>5148000</v>
      </c>
      <c r="T17" s="217"/>
      <c r="U17" s="221"/>
      <c r="V17" s="27"/>
    </row>
    <row r="18" spans="2:22" x14ac:dyDescent="0.25">
      <c r="B18" s="235" t="s">
        <v>47</v>
      </c>
      <c r="C18" s="223"/>
      <c r="D18" s="223"/>
      <c r="E18" s="223"/>
      <c r="F18" s="223"/>
      <c r="G18" s="223"/>
      <c r="H18" s="223"/>
      <c r="I18" s="214">
        <v>5552000</v>
      </c>
      <c r="J18" s="215"/>
      <c r="K18" s="215"/>
      <c r="L18" s="34" t="s">
        <v>59</v>
      </c>
      <c r="M18" s="28"/>
      <c r="N18" s="28"/>
      <c r="O18" s="28"/>
      <c r="P18" s="28"/>
      <c r="Q18" s="28"/>
      <c r="R18" s="28"/>
      <c r="S18" s="216">
        <v>916000</v>
      </c>
      <c r="T18" s="217"/>
      <c r="U18" s="221"/>
      <c r="V18" s="27"/>
    </row>
    <row r="19" spans="2:22" x14ac:dyDescent="0.25">
      <c r="B19" s="235" t="s">
        <v>48</v>
      </c>
      <c r="C19" s="223"/>
      <c r="D19" s="223"/>
      <c r="E19" s="223"/>
      <c r="F19" s="223"/>
      <c r="G19" s="223"/>
      <c r="H19" s="223"/>
      <c r="I19" s="216">
        <v>1000000</v>
      </c>
      <c r="J19" s="217"/>
      <c r="K19" s="217"/>
      <c r="L19" s="34" t="s">
        <v>60</v>
      </c>
      <c r="M19" s="28"/>
      <c r="N19" s="28"/>
      <c r="O19" s="28"/>
      <c r="P19" s="28"/>
      <c r="Q19" s="28"/>
      <c r="R19" s="28"/>
      <c r="S19" s="216">
        <v>2000000</v>
      </c>
      <c r="T19" s="217"/>
      <c r="U19" s="221"/>
      <c r="V19" s="26"/>
    </row>
    <row r="20" spans="2:22" x14ac:dyDescent="0.25">
      <c r="B20" s="31"/>
      <c r="C20" s="28"/>
      <c r="D20" s="28"/>
      <c r="E20" s="28"/>
      <c r="F20" s="28"/>
      <c r="G20" s="28"/>
      <c r="H20" s="28"/>
      <c r="I20" s="36"/>
      <c r="J20" s="37"/>
      <c r="K20" s="37"/>
      <c r="L20" s="33" t="s">
        <v>49</v>
      </c>
      <c r="M20" s="28"/>
      <c r="N20" s="28"/>
      <c r="O20" s="28"/>
      <c r="P20" s="28"/>
      <c r="Q20" s="28"/>
      <c r="R20" s="28"/>
      <c r="S20" s="218">
        <v>0</v>
      </c>
      <c r="T20" s="219"/>
      <c r="U20" s="220"/>
      <c r="V20" s="7"/>
    </row>
    <row r="21" spans="2:22" ht="16.5" thickBot="1" x14ac:dyDescent="0.3">
      <c r="B21" s="248" t="s">
        <v>54</v>
      </c>
      <c r="C21" s="249"/>
      <c r="D21" s="249"/>
      <c r="E21" s="249"/>
      <c r="F21" s="249"/>
      <c r="G21" s="249"/>
      <c r="H21" s="249"/>
      <c r="I21" s="242"/>
      <c r="J21" s="243"/>
      <c r="K21" s="244"/>
      <c r="L21" s="35" t="s">
        <v>55</v>
      </c>
      <c r="M21" s="32"/>
      <c r="N21" s="32"/>
      <c r="O21" s="32"/>
      <c r="P21" s="32"/>
      <c r="Q21" s="30"/>
      <c r="R21" s="30"/>
      <c r="S21" s="245"/>
      <c r="T21" s="246"/>
      <c r="U21" s="247"/>
    </row>
    <row r="22" spans="2:22" ht="16.5" thickBot="1" x14ac:dyDescent="0.3">
      <c r="B22" s="227" t="s">
        <v>56</v>
      </c>
      <c r="C22" s="228"/>
      <c r="D22" s="228"/>
      <c r="E22" s="228"/>
      <c r="F22" s="228"/>
      <c r="G22" s="228"/>
      <c r="H22" s="241"/>
      <c r="I22" s="237">
        <f>SUM(I7+I13+I17+I21)</f>
        <v>113064000</v>
      </c>
      <c r="J22" s="238"/>
      <c r="K22" s="239"/>
      <c r="L22" s="229" t="s">
        <v>57</v>
      </c>
      <c r="M22" s="228"/>
      <c r="N22" s="228"/>
      <c r="O22" s="228"/>
      <c r="P22" s="228"/>
      <c r="Q22" s="228"/>
      <c r="R22" s="241"/>
      <c r="S22" s="237">
        <f>SUM(S7+S12+S16+S20+S21)</f>
        <v>113064000</v>
      </c>
      <c r="T22" s="238"/>
      <c r="U22" s="240"/>
    </row>
    <row r="26" spans="2:22" x14ac:dyDescent="0.25">
      <c r="B26" s="250" t="s">
        <v>80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</row>
    <row r="27" spans="2:22" x14ac:dyDescent="0.25"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</row>
    <row r="28" spans="2:22" x14ac:dyDescent="0.25"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</row>
    <row r="29" spans="2:22" ht="16.5" thickBot="1" x14ac:dyDescent="0.3">
      <c r="B29" s="231" t="s">
        <v>65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</row>
    <row r="30" spans="2:22" ht="16.5" thickBot="1" x14ac:dyDescent="0.3">
      <c r="B30" s="227" t="s">
        <v>30</v>
      </c>
      <c r="C30" s="228"/>
      <c r="D30" s="228"/>
      <c r="E30" s="228"/>
      <c r="F30" s="228"/>
      <c r="G30" s="228"/>
      <c r="H30" s="228"/>
      <c r="I30" s="228"/>
      <c r="J30" s="228"/>
      <c r="K30" s="228"/>
      <c r="L30" s="229" t="s">
        <v>31</v>
      </c>
      <c r="M30" s="228"/>
      <c r="N30" s="228"/>
      <c r="O30" s="228"/>
      <c r="P30" s="228"/>
      <c r="Q30" s="228"/>
      <c r="R30" s="228"/>
      <c r="S30" s="228"/>
      <c r="T30" s="228"/>
      <c r="U30" s="230"/>
    </row>
    <row r="31" spans="2:22" x14ac:dyDescent="0.25">
      <c r="B31" s="224" t="s">
        <v>50</v>
      </c>
      <c r="C31" s="225"/>
      <c r="D31" s="225"/>
      <c r="E31" s="225"/>
      <c r="F31" s="225"/>
      <c r="G31" s="225"/>
      <c r="H31" s="225"/>
      <c r="I31" s="226" t="s">
        <v>51</v>
      </c>
      <c r="J31" s="225"/>
      <c r="K31" s="225"/>
      <c r="L31" s="226" t="s">
        <v>50</v>
      </c>
      <c r="M31" s="225"/>
      <c r="N31" s="225"/>
      <c r="O31" s="225"/>
      <c r="P31" s="225"/>
      <c r="Q31" s="225"/>
      <c r="R31" s="225"/>
      <c r="S31" s="226" t="s">
        <v>51</v>
      </c>
      <c r="T31" s="225"/>
      <c r="U31" s="232"/>
    </row>
    <row r="32" spans="2:22" x14ac:dyDescent="0.25">
      <c r="B32" s="233" t="s">
        <v>32</v>
      </c>
      <c r="C32" s="234"/>
      <c r="D32" s="234"/>
      <c r="E32" s="234"/>
      <c r="F32" s="234"/>
      <c r="G32" s="234"/>
      <c r="H32" s="234"/>
      <c r="I32" s="218">
        <f>SUM(I33:K40)</f>
        <v>37500000</v>
      </c>
      <c r="J32" s="219"/>
      <c r="K32" s="219"/>
      <c r="L32" s="33" t="s">
        <v>33</v>
      </c>
      <c r="M32" s="28"/>
      <c r="N32" s="28"/>
      <c r="O32" s="28"/>
      <c r="P32" s="28"/>
      <c r="Q32" s="29"/>
      <c r="R32" s="29"/>
      <c r="S32" s="218">
        <f>SUM(S33:U36)</f>
        <v>25050000</v>
      </c>
      <c r="T32" s="219"/>
      <c r="U32" s="220"/>
    </row>
    <row r="33" spans="2:21" x14ac:dyDescent="0.25">
      <c r="B33" s="235" t="s">
        <v>66</v>
      </c>
      <c r="C33" s="223"/>
      <c r="D33" s="223"/>
      <c r="E33" s="223"/>
      <c r="F33" s="223"/>
      <c r="G33" s="223"/>
      <c r="H33" s="223"/>
      <c r="I33" s="216">
        <v>5000000</v>
      </c>
      <c r="J33" s="217"/>
      <c r="K33" s="217"/>
      <c r="L33" s="34" t="s">
        <v>79</v>
      </c>
      <c r="M33" s="28"/>
      <c r="N33" s="28"/>
      <c r="O33" s="28"/>
      <c r="P33" s="28"/>
      <c r="Q33" s="28"/>
      <c r="R33" s="28"/>
      <c r="S33" s="216">
        <v>5000000</v>
      </c>
      <c r="T33" s="217"/>
      <c r="U33" s="221"/>
    </row>
    <row r="34" spans="2:21" x14ac:dyDescent="0.25">
      <c r="B34" s="235" t="s">
        <v>67</v>
      </c>
      <c r="C34" s="223"/>
      <c r="D34" s="223"/>
      <c r="E34" s="223"/>
      <c r="F34" s="223"/>
      <c r="G34" s="223"/>
      <c r="H34" s="223"/>
      <c r="I34" s="216">
        <v>10000000</v>
      </c>
      <c r="J34" s="217"/>
      <c r="K34" s="217"/>
      <c r="L34" s="34" t="s">
        <v>71</v>
      </c>
      <c r="M34" s="28"/>
      <c r="N34" s="28"/>
      <c r="O34" s="28"/>
      <c r="P34" s="28"/>
      <c r="Q34" s="28"/>
      <c r="R34" s="28"/>
      <c r="S34" s="216">
        <v>50000</v>
      </c>
      <c r="T34" s="217"/>
      <c r="U34" s="221"/>
    </row>
    <row r="35" spans="2:21" x14ac:dyDescent="0.25">
      <c r="B35" s="235" t="s">
        <v>34</v>
      </c>
      <c r="C35" s="223"/>
      <c r="D35" s="223"/>
      <c r="E35" s="223"/>
      <c r="F35" s="223"/>
      <c r="G35" s="223"/>
      <c r="H35" s="223"/>
      <c r="I35" s="216">
        <v>9000000</v>
      </c>
      <c r="J35" s="217"/>
      <c r="K35" s="217"/>
      <c r="L35" s="222" t="s">
        <v>35</v>
      </c>
      <c r="M35" s="223"/>
      <c r="N35" s="223"/>
      <c r="O35" s="223"/>
      <c r="P35" s="223"/>
      <c r="Q35" s="28"/>
      <c r="R35" s="28"/>
      <c r="S35" s="216">
        <v>0</v>
      </c>
      <c r="T35" s="217"/>
      <c r="U35" s="221"/>
    </row>
    <row r="36" spans="2:21" x14ac:dyDescent="0.25">
      <c r="B36" s="235" t="s">
        <v>36</v>
      </c>
      <c r="C36" s="223"/>
      <c r="D36" s="223"/>
      <c r="E36" s="223"/>
      <c r="F36" s="223"/>
      <c r="G36" s="223"/>
      <c r="H36" s="223"/>
      <c r="I36" s="216">
        <v>10000000</v>
      </c>
      <c r="J36" s="217"/>
      <c r="K36" s="217"/>
      <c r="L36" s="222" t="s">
        <v>72</v>
      </c>
      <c r="M36" s="223"/>
      <c r="N36" s="223"/>
      <c r="O36" s="223"/>
      <c r="P36" s="223"/>
      <c r="Q36" s="223"/>
      <c r="R36" s="236"/>
      <c r="S36" s="216">
        <v>20000000</v>
      </c>
      <c r="T36" s="217"/>
      <c r="U36" s="221"/>
    </row>
    <row r="37" spans="2:21" x14ac:dyDescent="0.25">
      <c r="B37" s="235" t="s">
        <v>68</v>
      </c>
      <c r="C37" s="223"/>
      <c r="D37" s="223"/>
      <c r="E37" s="223"/>
      <c r="F37" s="223"/>
      <c r="G37" s="223"/>
      <c r="H37" s="223"/>
      <c r="I37" s="216">
        <v>6000000</v>
      </c>
      <c r="J37" s="217"/>
      <c r="K37" s="217"/>
      <c r="L37" s="33" t="s">
        <v>37</v>
      </c>
      <c r="M37" s="29"/>
      <c r="N37" s="29"/>
      <c r="O37" s="29"/>
      <c r="P37" s="29"/>
      <c r="Q37" s="29"/>
      <c r="R37" s="29"/>
      <c r="S37" s="218">
        <f>SUM(S38:U40)</f>
        <v>31950000</v>
      </c>
      <c r="T37" s="219"/>
      <c r="U37" s="220"/>
    </row>
    <row r="38" spans="2:21" x14ac:dyDescent="0.25">
      <c r="B38" s="235" t="s">
        <v>69</v>
      </c>
      <c r="C38" s="223"/>
      <c r="D38" s="223"/>
      <c r="E38" s="223"/>
      <c r="F38" s="223"/>
      <c r="G38" s="223"/>
      <c r="H38" s="223"/>
      <c r="I38" s="216">
        <v>4000000</v>
      </c>
      <c r="J38" s="217"/>
      <c r="K38" s="217"/>
      <c r="L38" s="222" t="s">
        <v>74</v>
      </c>
      <c r="M38" s="223"/>
      <c r="N38" s="223"/>
      <c r="O38" s="223"/>
      <c r="P38" s="223"/>
      <c r="Q38" s="28"/>
      <c r="R38" s="28"/>
      <c r="S38" s="216">
        <v>20000000</v>
      </c>
      <c r="T38" s="217"/>
      <c r="U38" s="221"/>
    </row>
    <row r="39" spans="2:21" x14ac:dyDescent="0.25">
      <c r="B39" s="235" t="s">
        <v>39</v>
      </c>
      <c r="C39" s="223"/>
      <c r="D39" s="223"/>
      <c r="E39" s="223"/>
      <c r="F39" s="223"/>
      <c r="G39" s="223"/>
      <c r="H39" s="223"/>
      <c r="I39" s="216">
        <v>6000000</v>
      </c>
      <c r="J39" s="217"/>
      <c r="K39" s="217"/>
      <c r="L39" s="222" t="s">
        <v>41</v>
      </c>
      <c r="M39" s="223"/>
      <c r="N39" s="223"/>
      <c r="O39" s="223"/>
      <c r="P39" s="223"/>
      <c r="Q39" s="28"/>
      <c r="R39" s="28"/>
      <c r="S39" s="216">
        <v>3950000</v>
      </c>
      <c r="T39" s="217"/>
      <c r="U39" s="221"/>
    </row>
    <row r="40" spans="2:21" x14ac:dyDescent="0.25">
      <c r="B40" s="235" t="s">
        <v>77</v>
      </c>
      <c r="C40" s="223"/>
      <c r="D40" s="223"/>
      <c r="E40" s="223"/>
      <c r="F40" s="223"/>
      <c r="G40" s="223"/>
      <c r="H40" s="223"/>
      <c r="I40" s="216">
        <f>-(50000000/12)*3</f>
        <v>-12500000</v>
      </c>
      <c r="J40" s="217"/>
      <c r="K40" s="217"/>
      <c r="L40" s="34" t="s">
        <v>61</v>
      </c>
      <c r="M40" s="28"/>
      <c r="N40" s="28"/>
      <c r="O40" s="28"/>
      <c r="P40" s="28"/>
      <c r="Q40" s="28"/>
      <c r="R40" s="28"/>
      <c r="S40" s="216">
        <v>8000000</v>
      </c>
      <c r="T40" s="217"/>
      <c r="U40" s="221"/>
    </row>
    <row r="41" spans="2:21" x14ac:dyDescent="0.25">
      <c r="B41" s="233" t="s">
        <v>40</v>
      </c>
      <c r="C41" s="234"/>
      <c r="D41" s="234"/>
      <c r="E41" s="234"/>
      <c r="F41" s="234"/>
      <c r="G41" s="234"/>
      <c r="H41" s="234"/>
      <c r="I41" s="218">
        <f>SUM(I42:K44)</f>
        <v>8500000</v>
      </c>
      <c r="J41" s="219"/>
      <c r="K41" s="219"/>
      <c r="L41" s="33" t="s">
        <v>43</v>
      </c>
      <c r="M41" s="28"/>
      <c r="N41" s="28"/>
      <c r="O41" s="28"/>
      <c r="P41" s="28"/>
      <c r="Q41" s="28"/>
      <c r="R41" s="28"/>
      <c r="S41" s="218">
        <f>SUM(S42:U43)</f>
        <v>3000000</v>
      </c>
      <c r="T41" s="219"/>
      <c r="U41" s="220"/>
    </row>
    <row r="42" spans="2:21" x14ac:dyDescent="0.25">
      <c r="B42" s="235" t="s">
        <v>53</v>
      </c>
      <c r="C42" s="223"/>
      <c r="D42" s="223"/>
      <c r="E42" s="223"/>
      <c r="F42" s="223"/>
      <c r="G42" s="223"/>
      <c r="H42" s="223"/>
      <c r="I42" s="216">
        <v>5000000</v>
      </c>
      <c r="J42" s="217"/>
      <c r="K42" s="217"/>
      <c r="L42" s="34" t="s">
        <v>45</v>
      </c>
      <c r="M42" s="28"/>
      <c r="N42" s="28"/>
      <c r="O42" s="28"/>
      <c r="P42" s="28"/>
      <c r="Q42" s="28"/>
      <c r="R42" s="28"/>
      <c r="S42" s="216">
        <v>1000000</v>
      </c>
      <c r="T42" s="217"/>
      <c r="U42" s="221"/>
    </row>
    <row r="43" spans="2:21" x14ac:dyDescent="0.25">
      <c r="B43" s="235" t="s">
        <v>42</v>
      </c>
      <c r="C43" s="223"/>
      <c r="D43" s="223"/>
      <c r="E43" s="223"/>
      <c r="F43" s="223"/>
      <c r="G43" s="223"/>
      <c r="H43" s="223"/>
      <c r="I43" s="216">
        <v>2000000</v>
      </c>
      <c r="J43" s="217"/>
      <c r="K43" s="217"/>
      <c r="L43" s="34" t="s">
        <v>75</v>
      </c>
      <c r="M43" s="28"/>
      <c r="N43" s="28"/>
      <c r="O43" s="28"/>
      <c r="P43" s="28"/>
      <c r="Q43" s="28"/>
      <c r="R43" s="28"/>
      <c r="S43" s="216">
        <v>2000000</v>
      </c>
      <c r="T43" s="217"/>
      <c r="U43" s="221"/>
    </row>
    <row r="44" spans="2:21" x14ac:dyDescent="0.25">
      <c r="B44" s="235" t="s">
        <v>70</v>
      </c>
      <c r="C44" s="223"/>
      <c r="D44" s="223"/>
      <c r="E44" s="223"/>
      <c r="F44" s="223"/>
      <c r="G44" s="223"/>
      <c r="H44" s="223"/>
      <c r="I44" s="216">
        <v>1500000</v>
      </c>
      <c r="J44" s="217"/>
      <c r="K44" s="217"/>
      <c r="L44" s="33" t="s">
        <v>49</v>
      </c>
      <c r="M44" s="28"/>
      <c r="N44" s="28"/>
      <c r="O44" s="28"/>
      <c r="P44" s="28"/>
      <c r="Q44" s="28"/>
      <c r="R44" s="28"/>
      <c r="S44" s="218">
        <v>0</v>
      </c>
      <c r="T44" s="219"/>
      <c r="U44" s="220"/>
    </row>
    <row r="45" spans="2:21" x14ac:dyDescent="0.25">
      <c r="B45" s="233" t="s">
        <v>46</v>
      </c>
      <c r="C45" s="234"/>
      <c r="D45" s="234"/>
      <c r="E45" s="234"/>
      <c r="F45" s="234"/>
      <c r="G45" s="234"/>
      <c r="H45" s="234"/>
      <c r="I45" s="218">
        <f>SUM(I46:K47)</f>
        <v>14000000</v>
      </c>
      <c r="J45" s="219"/>
      <c r="K45" s="219"/>
      <c r="L45" s="33"/>
      <c r="M45" s="28"/>
      <c r="N45" s="28"/>
      <c r="O45" s="28"/>
      <c r="P45" s="28"/>
      <c r="Q45" s="28"/>
      <c r="R45" s="28"/>
      <c r="S45" s="39"/>
      <c r="T45" s="40"/>
      <c r="U45" s="41"/>
    </row>
    <row r="46" spans="2:21" x14ac:dyDescent="0.25">
      <c r="B46" s="235" t="s">
        <v>76</v>
      </c>
      <c r="C46" s="223"/>
      <c r="D46" s="223"/>
      <c r="E46" s="223"/>
      <c r="F46" s="223"/>
      <c r="G46" s="223"/>
      <c r="H46" s="223"/>
      <c r="I46" s="216">
        <v>12500000</v>
      </c>
      <c r="J46" s="217"/>
      <c r="K46" s="217"/>
      <c r="L46" s="33"/>
      <c r="M46" s="28"/>
      <c r="N46" s="28"/>
      <c r="O46" s="28"/>
      <c r="P46" s="28"/>
      <c r="Q46" s="28"/>
      <c r="R46" s="28"/>
      <c r="S46" s="39"/>
      <c r="T46" s="40"/>
      <c r="U46" s="41"/>
    </row>
    <row r="47" spans="2:21" x14ac:dyDescent="0.25">
      <c r="B47" s="235" t="s">
        <v>48</v>
      </c>
      <c r="C47" s="223"/>
      <c r="D47" s="223"/>
      <c r="E47" s="223"/>
      <c r="F47" s="223"/>
      <c r="G47" s="223"/>
      <c r="H47" s="223"/>
      <c r="I47" s="216">
        <v>1500000</v>
      </c>
      <c r="J47" s="217"/>
      <c r="K47" s="217"/>
      <c r="L47" s="33"/>
      <c r="M47" s="28"/>
      <c r="N47" s="28"/>
      <c r="O47" s="28"/>
      <c r="P47" s="28"/>
      <c r="Q47" s="28"/>
      <c r="R47" s="28"/>
      <c r="S47" s="39"/>
      <c r="T47" s="40"/>
      <c r="U47" s="41"/>
    </row>
    <row r="48" spans="2:21" ht="16.5" thickBot="1" x14ac:dyDescent="0.3">
      <c r="B48" s="248" t="s">
        <v>54</v>
      </c>
      <c r="C48" s="249"/>
      <c r="D48" s="249"/>
      <c r="E48" s="249"/>
      <c r="F48" s="249"/>
      <c r="G48" s="249"/>
      <c r="H48" s="249"/>
      <c r="I48" s="242"/>
      <c r="J48" s="243"/>
      <c r="K48" s="244"/>
      <c r="L48" s="35" t="s">
        <v>55</v>
      </c>
      <c r="M48" s="32"/>
      <c r="N48" s="32"/>
      <c r="O48" s="32"/>
      <c r="P48" s="32"/>
      <c r="Q48" s="30"/>
      <c r="R48" s="30"/>
      <c r="S48" s="245"/>
      <c r="T48" s="246"/>
      <c r="U48" s="247"/>
    </row>
    <row r="49" spans="2:21" ht="16.5" thickBot="1" x14ac:dyDescent="0.3">
      <c r="B49" s="227" t="s">
        <v>56</v>
      </c>
      <c r="C49" s="228"/>
      <c r="D49" s="228"/>
      <c r="E49" s="228"/>
      <c r="F49" s="228"/>
      <c r="G49" s="228"/>
      <c r="H49" s="241"/>
      <c r="I49" s="237">
        <f>SUM(I32+I41+I45+I48)</f>
        <v>60000000</v>
      </c>
      <c r="J49" s="238"/>
      <c r="K49" s="239"/>
      <c r="L49" s="229" t="s">
        <v>57</v>
      </c>
      <c r="M49" s="228"/>
      <c r="N49" s="228"/>
      <c r="O49" s="228"/>
      <c r="P49" s="228"/>
      <c r="Q49" s="228"/>
      <c r="R49" s="241"/>
      <c r="S49" s="237">
        <f>SUM(S32+S37+S41+S44+S48)</f>
        <v>60000000</v>
      </c>
      <c r="T49" s="238"/>
      <c r="U49" s="240"/>
    </row>
  </sheetData>
  <mergeCells count="123">
    <mergeCell ref="B1:U3"/>
    <mergeCell ref="B26:U28"/>
    <mergeCell ref="B49:H49"/>
    <mergeCell ref="I49:K49"/>
    <mergeCell ref="L49:R49"/>
    <mergeCell ref="S49:U49"/>
    <mergeCell ref="B38:H38"/>
    <mergeCell ref="B34:H34"/>
    <mergeCell ref="I34:K34"/>
    <mergeCell ref="I38:K38"/>
    <mergeCell ref="B40:H40"/>
    <mergeCell ref="I40:K40"/>
    <mergeCell ref="B47:H47"/>
    <mergeCell ref="I47:K47"/>
    <mergeCell ref="S44:U44"/>
    <mergeCell ref="B48:H48"/>
    <mergeCell ref="I48:K48"/>
    <mergeCell ref="S48:U48"/>
    <mergeCell ref="B45:H45"/>
    <mergeCell ref="I45:K45"/>
    <mergeCell ref="S42:U42"/>
    <mergeCell ref="B46:H46"/>
    <mergeCell ref="I46:K46"/>
    <mergeCell ref="S43:U43"/>
    <mergeCell ref="B43:H43"/>
    <mergeCell ref="I43:K43"/>
    <mergeCell ref="S40:U40"/>
    <mergeCell ref="B44:H44"/>
    <mergeCell ref="I44:K44"/>
    <mergeCell ref="S41:U41"/>
    <mergeCell ref="B41:H41"/>
    <mergeCell ref="I41:K41"/>
    <mergeCell ref="L38:P38"/>
    <mergeCell ref="S38:U38"/>
    <mergeCell ref="B42:H42"/>
    <mergeCell ref="I42:K42"/>
    <mergeCell ref="L39:P39"/>
    <mergeCell ref="S39:U39"/>
    <mergeCell ref="B37:H37"/>
    <mergeCell ref="I37:K37"/>
    <mergeCell ref="L36:R36"/>
    <mergeCell ref="S36:U36"/>
    <mergeCell ref="B39:H39"/>
    <mergeCell ref="I39:K39"/>
    <mergeCell ref="S37:U37"/>
    <mergeCell ref="B35:H35"/>
    <mergeCell ref="I35:K35"/>
    <mergeCell ref="S34:U34"/>
    <mergeCell ref="B36:H36"/>
    <mergeCell ref="I36:K36"/>
    <mergeCell ref="L35:P35"/>
    <mergeCell ref="S35:U35"/>
    <mergeCell ref="B32:H32"/>
    <mergeCell ref="I32:K32"/>
    <mergeCell ref="S32:U32"/>
    <mergeCell ref="B33:H33"/>
    <mergeCell ref="I33:K33"/>
    <mergeCell ref="S33:U33"/>
    <mergeCell ref="B29:U29"/>
    <mergeCell ref="B30:K30"/>
    <mergeCell ref="L30:U30"/>
    <mergeCell ref="B31:H31"/>
    <mergeCell ref="I31:K31"/>
    <mergeCell ref="L31:R31"/>
    <mergeCell ref="S31:U31"/>
    <mergeCell ref="S11:U11"/>
    <mergeCell ref="L11:R11"/>
    <mergeCell ref="I22:K22"/>
    <mergeCell ref="S22:U22"/>
    <mergeCell ref="B22:H22"/>
    <mergeCell ref="L22:R22"/>
    <mergeCell ref="I21:K21"/>
    <mergeCell ref="S21:U21"/>
    <mergeCell ref="B19:H19"/>
    <mergeCell ref="B21:H21"/>
    <mergeCell ref="B18:H18"/>
    <mergeCell ref="S16:U16"/>
    <mergeCell ref="S17:U17"/>
    <mergeCell ref="S18:U18"/>
    <mergeCell ref="S19:U19"/>
    <mergeCell ref="S20:U20"/>
    <mergeCell ref="I17:K17"/>
    <mergeCell ref="B17:H17"/>
    <mergeCell ref="B8:H8"/>
    <mergeCell ref="B9:H9"/>
    <mergeCell ref="B10:H10"/>
    <mergeCell ref="B11:H11"/>
    <mergeCell ref="B12:H12"/>
    <mergeCell ref="B14:H14"/>
    <mergeCell ref="B15:H15"/>
    <mergeCell ref="B16:H16"/>
    <mergeCell ref="B6:H6"/>
    <mergeCell ref="L6:R6"/>
    <mergeCell ref="B5:K5"/>
    <mergeCell ref="L5:U5"/>
    <mergeCell ref="B4:U4"/>
    <mergeCell ref="S14:U14"/>
    <mergeCell ref="I6:K6"/>
    <mergeCell ref="S6:U6"/>
    <mergeCell ref="B7:H7"/>
    <mergeCell ref="B13:H13"/>
    <mergeCell ref="I18:K18"/>
    <mergeCell ref="I19:K19"/>
    <mergeCell ref="S7:U7"/>
    <mergeCell ref="S8:U8"/>
    <mergeCell ref="S10:U10"/>
    <mergeCell ref="S12:U12"/>
    <mergeCell ref="S13:U13"/>
    <mergeCell ref="S15:U15"/>
    <mergeCell ref="I11:K11"/>
    <mergeCell ref="I12:K12"/>
    <mergeCell ref="I13:K13"/>
    <mergeCell ref="I14:K14"/>
    <mergeCell ref="I15:K15"/>
    <mergeCell ref="I16:K16"/>
    <mergeCell ref="I7:K7"/>
    <mergeCell ref="I8:K8"/>
    <mergeCell ref="I9:K9"/>
    <mergeCell ref="I10:K10"/>
    <mergeCell ref="S9:U9"/>
    <mergeCell ref="L10:P10"/>
    <mergeCell ref="L13:P13"/>
    <mergeCell ref="L14:P14"/>
  </mergeCells>
  <pageMargins left="0.51181102362204722" right="3.937007874015748E-2" top="0.78740157480314965" bottom="0.19685039370078741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77"/>
  <sheetViews>
    <sheetView workbookViewId="0">
      <selection activeCell="L9" sqref="L9:N9"/>
    </sheetView>
  </sheetViews>
  <sheetFormatPr baseColWidth="10" defaultColWidth="4.7109375" defaultRowHeight="15" x14ac:dyDescent="0.25"/>
  <sheetData>
    <row r="1" spans="2:20" s="2" customFormat="1" ht="16.5" thickBot="1" x14ac:dyDescent="0.3">
      <c r="B1" s="42" t="s">
        <v>81</v>
      </c>
      <c r="M1" s="2" t="s">
        <v>82</v>
      </c>
    </row>
    <row r="2" spans="2:20" s="2" customFormat="1" ht="15.75" customHeight="1" x14ac:dyDescent="0.25">
      <c r="B2" s="43" t="s">
        <v>2</v>
      </c>
      <c r="C2" s="44"/>
      <c r="D2" s="44"/>
      <c r="E2" s="44"/>
      <c r="F2" s="44"/>
      <c r="G2" s="300">
        <v>44287</v>
      </c>
      <c r="H2" s="300"/>
      <c r="I2" s="300"/>
      <c r="J2" s="45"/>
      <c r="K2" s="46"/>
      <c r="L2" s="322" t="s">
        <v>83</v>
      </c>
      <c r="M2" s="323"/>
      <c r="N2" s="323"/>
      <c r="O2" s="323" t="s">
        <v>84</v>
      </c>
      <c r="P2" s="323"/>
      <c r="Q2" s="323"/>
      <c r="R2" s="323" t="s">
        <v>85</v>
      </c>
      <c r="S2" s="323"/>
      <c r="T2" s="323"/>
    </row>
    <row r="3" spans="2:20" s="2" customFormat="1" ht="15.75" x14ac:dyDescent="0.25">
      <c r="B3" s="47" t="s">
        <v>86</v>
      </c>
      <c r="C3" s="48"/>
      <c r="D3" s="48"/>
      <c r="E3" s="48"/>
      <c r="F3" s="48"/>
      <c r="G3" s="48" t="s">
        <v>87</v>
      </c>
      <c r="H3" s="48"/>
      <c r="I3" s="48"/>
      <c r="J3" s="48"/>
      <c r="K3" s="49"/>
      <c r="L3" s="322"/>
      <c r="M3" s="323"/>
      <c r="N3" s="323"/>
      <c r="O3" s="323"/>
      <c r="P3" s="323"/>
      <c r="Q3" s="323"/>
      <c r="R3" s="323"/>
      <c r="S3" s="323"/>
      <c r="T3" s="323"/>
    </row>
    <row r="4" spans="2:20" s="2" customFormat="1" ht="16.5" thickBot="1" x14ac:dyDescent="0.3">
      <c r="B4" s="301"/>
      <c r="C4" s="302"/>
      <c r="D4" s="302"/>
      <c r="E4" s="50"/>
      <c r="F4" s="50"/>
      <c r="G4" s="51" t="s">
        <v>88</v>
      </c>
      <c r="H4" s="52"/>
      <c r="I4" s="50"/>
      <c r="J4" s="50"/>
      <c r="K4" s="53"/>
      <c r="L4" s="322"/>
      <c r="M4" s="323"/>
      <c r="N4" s="323"/>
      <c r="O4" s="323"/>
      <c r="P4" s="323"/>
      <c r="Q4" s="323"/>
      <c r="R4" s="323"/>
      <c r="S4" s="323"/>
      <c r="T4" s="323"/>
    </row>
    <row r="5" spans="2:20" s="2" customFormat="1" ht="15.75" x14ac:dyDescent="0.25">
      <c r="B5" s="54" t="s">
        <v>12</v>
      </c>
      <c r="C5" s="44"/>
      <c r="D5" s="44"/>
      <c r="E5" s="44"/>
      <c r="F5" s="44"/>
      <c r="G5" s="44"/>
      <c r="H5" s="44"/>
      <c r="I5" s="311">
        <f>SUM(L5:T5)</f>
        <v>5250000</v>
      </c>
      <c r="J5" s="312"/>
      <c r="K5" s="313"/>
      <c r="L5" s="317">
        <v>5250000</v>
      </c>
      <c r="M5" s="318"/>
      <c r="N5" s="318"/>
      <c r="O5" s="318"/>
      <c r="P5" s="318"/>
      <c r="Q5" s="318"/>
      <c r="R5" s="318"/>
      <c r="S5" s="318"/>
      <c r="T5" s="318"/>
    </row>
    <row r="6" spans="2:20" s="2" customFormat="1" ht="15.75" x14ac:dyDescent="0.25">
      <c r="B6" s="55" t="s">
        <v>89</v>
      </c>
      <c r="C6" s="48"/>
      <c r="D6" s="48"/>
      <c r="E6" s="48"/>
      <c r="F6" s="48"/>
      <c r="G6" s="48"/>
      <c r="H6" s="48"/>
      <c r="I6" s="289">
        <f t="shared" ref="I6:I25" si="0">SUM(L6:T6)</f>
        <v>4250000</v>
      </c>
      <c r="J6" s="290"/>
      <c r="K6" s="291"/>
      <c r="L6" s="318"/>
      <c r="M6" s="318"/>
      <c r="N6" s="318"/>
      <c r="O6" s="324">
        <v>4250000</v>
      </c>
      <c r="P6" s="324"/>
      <c r="Q6" s="324"/>
      <c r="R6" s="318"/>
      <c r="S6" s="318"/>
      <c r="T6" s="318"/>
    </row>
    <row r="7" spans="2:20" s="2" customFormat="1" ht="15.75" x14ac:dyDescent="0.25">
      <c r="B7" s="55" t="s">
        <v>90</v>
      </c>
      <c r="C7" s="48"/>
      <c r="D7" s="48"/>
      <c r="E7" s="48"/>
      <c r="F7" s="48"/>
      <c r="G7" s="48"/>
      <c r="H7" s="48"/>
      <c r="I7" s="289">
        <f t="shared" si="0"/>
        <v>1750000</v>
      </c>
      <c r="J7" s="290"/>
      <c r="K7" s="291"/>
      <c r="L7" s="317"/>
      <c r="M7" s="318"/>
      <c r="N7" s="318"/>
      <c r="O7" s="56"/>
      <c r="P7" s="56"/>
      <c r="Q7" s="56"/>
      <c r="R7" s="318">
        <v>1750000</v>
      </c>
      <c r="S7" s="318"/>
      <c r="T7" s="318"/>
    </row>
    <row r="8" spans="2:20" s="1" customFormat="1" ht="15.75" x14ac:dyDescent="0.25">
      <c r="B8" s="57" t="s">
        <v>91</v>
      </c>
      <c r="C8" s="58"/>
      <c r="D8" s="58"/>
      <c r="E8" s="58"/>
      <c r="F8" s="58"/>
      <c r="G8" s="58"/>
      <c r="H8" s="58"/>
      <c r="I8" s="304">
        <f t="shared" si="0"/>
        <v>11250000</v>
      </c>
      <c r="J8" s="305"/>
      <c r="K8" s="306"/>
      <c r="L8" s="319">
        <f>SUM(L5:N7)</f>
        <v>5250000</v>
      </c>
      <c r="M8" s="320"/>
      <c r="N8" s="320"/>
      <c r="O8" s="320">
        <f>SUM(O5:Q7)</f>
        <v>4250000</v>
      </c>
      <c r="P8" s="320"/>
      <c r="Q8" s="320"/>
      <c r="R8" s="320">
        <f>SUM(R5:T7)</f>
        <v>1750000</v>
      </c>
      <c r="S8" s="320"/>
      <c r="T8" s="320"/>
    </row>
    <row r="9" spans="2:20" s="2" customFormat="1" ht="15.75" x14ac:dyDescent="0.25">
      <c r="B9" s="55" t="s">
        <v>92</v>
      </c>
      <c r="C9" s="48"/>
      <c r="D9" s="48"/>
      <c r="E9" s="48"/>
      <c r="F9" s="48"/>
      <c r="G9" s="48"/>
      <c r="H9" s="48"/>
      <c r="I9" s="289">
        <f t="shared" si="0"/>
        <v>-1250000</v>
      </c>
      <c r="J9" s="290"/>
      <c r="K9" s="291"/>
      <c r="L9" s="317">
        <f>+(L8*(-1250000)/I8)</f>
        <v>-583333.33333333337</v>
      </c>
      <c r="M9" s="318"/>
      <c r="N9" s="318"/>
      <c r="O9" s="318">
        <f>+(O8*(-1250000)/I8)</f>
        <v>-472222.22222222225</v>
      </c>
      <c r="P9" s="318"/>
      <c r="Q9" s="318"/>
      <c r="R9" s="318">
        <f>+(R8*(-1250000)/I8)</f>
        <v>-194444.44444444444</v>
      </c>
      <c r="S9" s="318"/>
      <c r="T9" s="318"/>
    </row>
    <row r="10" spans="2:20" s="2" customFormat="1" ht="15.75" x14ac:dyDescent="0.25">
      <c r="B10" s="55" t="s">
        <v>93</v>
      </c>
      <c r="C10" s="48"/>
      <c r="D10" s="48"/>
      <c r="E10" s="48"/>
      <c r="F10" s="48"/>
      <c r="G10" s="48"/>
      <c r="H10" s="48"/>
      <c r="I10" s="289">
        <f t="shared" si="0"/>
        <v>10000000</v>
      </c>
      <c r="J10" s="290"/>
      <c r="K10" s="291"/>
      <c r="L10" s="317">
        <f>SUM(L8:N9)</f>
        <v>4666666.666666667</v>
      </c>
      <c r="M10" s="318"/>
      <c r="N10" s="318"/>
      <c r="O10" s="318">
        <f>SUM(O8:Q9)</f>
        <v>3777777.777777778</v>
      </c>
      <c r="P10" s="318"/>
      <c r="Q10" s="318"/>
      <c r="R10" s="318">
        <f>SUM(R8:T9)</f>
        <v>1555555.5555555555</v>
      </c>
      <c r="S10" s="318"/>
      <c r="T10" s="318"/>
    </row>
    <row r="11" spans="2:20" s="2" customFormat="1" ht="15.75" x14ac:dyDescent="0.25">
      <c r="B11" s="55" t="s">
        <v>18</v>
      </c>
      <c r="C11" s="48"/>
      <c r="D11" s="48"/>
      <c r="E11" s="48"/>
      <c r="F11" s="48"/>
      <c r="G11" s="48"/>
      <c r="H11" s="48"/>
      <c r="I11" s="289">
        <f t="shared" si="0"/>
        <v>-100000</v>
      </c>
      <c r="J11" s="290"/>
      <c r="K11" s="291"/>
      <c r="L11" s="317">
        <f>-L10*1%</f>
        <v>-46666.666666666672</v>
      </c>
      <c r="M11" s="318"/>
      <c r="N11" s="318"/>
      <c r="O11" s="318">
        <f>-O10*1%</f>
        <v>-37777.777777777781</v>
      </c>
      <c r="P11" s="318"/>
      <c r="Q11" s="318"/>
      <c r="R11" s="318">
        <f>-R10*1%</f>
        <v>-15555.555555555555</v>
      </c>
      <c r="S11" s="318"/>
      <c r="T11" s="318"/>
    </row>
    <row r="12" spans="2:20" s="2" customFormat="1" ht="15.75" x14ac:dyDescent="0.25">
      <c r="B12" s="55" t="s">
        <v>94</v>
      </c>
      <c r="C12" s="48"/>
      <c r="D12" s="48"/>
      <c r="E12" s="48"/>
      <c r="F12" s="48"/>
      <c r="G12" s="48"/>
      <c r="H12" s="48"/>
      <c r="I12" s="289">
        <f t="shared" si="0"/>
        <v>9900000</v>
      </c>
      <c r="J12" s="290"/>
      <c r="K12" s="291"/>
      <c r="L12" s="317">
        <f>SUM(L10:N11)</f>
        <v>4620000</v>
      </c>
      <c r="M12" s="318"/>
      <c r="N12" s="318"/>
      <c r="O12" s="318">
        <f>SUM(O10:Q11)</f>
        <v>3740000</v>
      </c>
      <c r="P12" s="318"/>
      <c r="Q12" s="318"/>
      <c r="R12" s="318">
        <f>SUM(R10:T11)</f>
        <v>1540000</v>
      </c>
      <c r="S12" s="318"/>
      <c r="T12" s="318"/>
    </row>
    <row r="13" spans="2:20" s="2" customFormat="1" ht="15.75" x14ac:dyDescent="0.25">
      <c r="B13" s="55" t="s">
        <v>20</v>
      </c>
      <c r="C13" s="48"/>
      <c r="D13" s="48"/>
      <c r="E13" s="48"/>
      <c r="F13" s="48"/>
      <c r="G13" s="48"/>
      <c r="H13" s="48"/>
      <c r="I13" s="289">
        <f t="shared" si="0"/>
        <v>-198000</v>
      </c>
      <c r="J13" s="290"/>
      <c r="K13" s="291"/>
      <c r="L13" s="317">
        <f>-L12*2%</f>
        <v>-92400</v>
      </c>
      <c r="M13" s="318"/>
      <c r="N13" s="318"/>
      <c r="O13" s="318">
        <f>-O12*2%</f>
        <v>-74800</v>
      </c>
      <c r="P13" s="318"/>
      <c r="Q13" s="318"/>
      <c r="R13" s="318">
        <f>-R12*2%</f>
        <v>-30800</v>
      </c>
      <c r="S13" s="318"/>
      <c r="T13" s="318"/>
    </row>
    <row r="14" spans="2:20" s="1" customFormat="1" ht="15.75" x14ac:dyDescent="0.25">
      <c r="B14" s="57" t="s">
        <v>95</v>
      </c>
      <c r="C14" s="58"/>
      <c r="D14" s="58"/>
      <c r="E14" s="58"/>
      <c r="F14" s="58"/>
      <c r="G14" s="59"/>
      <c r="H14" s="60"/>
      <c r="I14" s="304">
        <f t="shared" si="0"/>
        <v>9702000</v>
      </c>
      <c r="J14" s="305"/>
      <c r="K14" s="306"/>
      <c r="L14" s="319">
        <f>SUM(L12:N13)</f>
        <v>4527600</v>
      </c>
      <c r="M14" s="320"/>
      <c r="N14" s="320"/>
      <c r="O14" s="320">
        <f>SUM(O12:Q13)</f>
        <v>3665200</v>
      </c>
      <c r="P14" s="320"/>
      <c r="Q14" s="320"/>
      <c r="R14" s="320">
        <f>SUM(R12:T13)</f>
        <v>1509200</v>
      </c>
      <c r="S14" s="320"/>
      <c r="T14" s="320"/>
    </row>
    <row r="15" spans="2:20" s="2" customFormat="1" ht="15.75" x14ac:dyDescent="0.25">
      <c r="B15" s="55" t="s">
        <v>96</v>
      </c>
      <c r="C15" s="48"/>
      <c r="D15" s="48"/>
      <c r="E15" s="48"/>
      <c r="F15" s="48"/>
      <c r="G15" s="61"/>
      <c r="H15" s="62"/>
      <c r="I15" s="289">
        <f t="shared" si="0"/>
        <v>0</v>
      </c>
      <c r="J15" s="290"/>
      <c r="K15" s="291"/>
      <c r="L15" s="317">
        <v>0</v>
      </c>
      <c r="M15" s="318"/>
      <c r="N15" s="318"/>
      <c r="O15" s="318">
        <v>0</v>
      </c>
      <c r="P15" s="318"/>
      <c r="Q15" s="318"/>
      <c r="R15" s="318">
        <v>0</v>
      </c>
      <c r="S15" s="318"/>
      <c r="T15" s="318"/>
    </row>
    <row r="16" spans="2:20" s="2" customFormat="1" ht="15.75" x14ac:dyDescent="0.25">
      <c r="B16" s="55" t="s">
        <v>25</v>
      </c>
      <c r="C16" s="48"/>
      <c r="D16" s="48"/>
      <c r="E16" s="48"/>
      <c r="F16" s="48"/>
      <c r="G16" s="48"/>
      <c r="H16" s="48"/>
      <c r="I16" s="289">
        <f t="shared" si="0"/>
        <v>9702000</v>
      </c>
      <c r="J16" s="290"/>
      <c r="K16" s="291"/>
      <c r="L16" s="317">
        <f>SUM(L14:N15)</f>
        <v>4527600</v>
      </c>
      <c r="M16" s="318"/>
      <c r="N16" s="318"/>
      <c r="O16" s="318">
        <f>SUM(O14:Q15)</f>
        <v>3665200</v>
      </c>
      <c r="P16" s="318"/>
      <c r="Q16" s="318"/>
      <c r="R16" s="318">
        <f>SUM(R14:T15)</f>
        <v>1509200</v>
      </c>
      <c r="S16" s="318"/>
      <c r="T16" s="318"/>
    </row>
    <row r="17" spans="2:21" s="1" customFormat="1" ht="15.75" x14ac:dyDescent="0.25">
      <c r="B17" s="57" t="s">
        <v>22</v>
      </c>
      <c r="C17" s="58"/>
      <c r="D17" s="58"/>
      <c r="E17" s="58"/>
      <c r="F17" s="58"/>
      <c r="G17" s="58"/>
      <c r="H17" s="58"/>
      <c r="I17" s="304">
        <f t="shared" si="0"/>
        <v>-291060</v>
      </c>
      <c r="J17" s="305"/>
      <c r="K17" s="306"/>
      <c r="L17" s="319">
        <f>-L16*3%</f>
        <v>-135828</v>
      </c>
      <c r="M17" s="320"/>
      <c r="N17" s="320"/>
      <c r="O17" s="320">
        <f>-O16*3%</f>
        <v>-109956</v>
      </c>
      <c r="P17" s="320"/>
      <c r="Q17" s="320"/>
      <c r="R17" s="320">
        <f>-R16*3%</f>
        <v>-45276</v>
      </c>
      <c r="S17" s="320"/>
      <c r="T17" s="320"/>
    </row>
    <row r="18" spans="2:21" s="1" customFormat="1" ht="15.75" x14ac:dyDescent="0.25">
      <c r="B18" s="57" t="s">
        <v>23</v>
      </c>
      <c r="C18" s="58"/>
      <c r="D18" s="58"/>
      <c r="E18" s="58"/>
      <c r="F18" s="58"/>
      <c r="G18" s="58"/>
      <c r="H18" s="58"/>
      <c r="I18" s="304">
        <f t="shared" si="0"/>
        <v>9410940</v>
      </c>
      <c r="J18" s="305"/>
      <c r="K18" s="306"/>
      <c r="L18" s="319">
        <f>SUM(L16:N17)</f>
        <v>4391772</v>
      </c>
      <c r="M18" s="320"/>
      <c r="N18" s="320"/>
      <c r="O18" s="320">
        <f>SUM(O16:Q17)</f>
        <v>3555244</v>
      </c>
      <c r="P18" s="320"/>
      <c r="Q18" s="320"/>
      <c r="R18" s="320">
        <f>SUM(R16:T17)</f>
        <v>1463924</v>
      </c>
      <c r="S18" s="320"/>
      <c r="T18" s="320"/>
    </row>
    <row r="19" spans="2:21" s="2" customFormat="1" ht="15.75" x14ac:dyDescent="0.25">
      <c r="B19" s="57" t="s">
        <v>97</v>
      </c>
      <c r="C19" s="58"/>
      <c r="D19" s="58"/>
      <c r="E19" s="58"/>
      <c r="F19" s="58"/>
      <c r="G19" s="58"/>
      <c r="H19" s="58"/>
      <c r="I19" s="304">
        <f t="shared" si="0"/>
        <v>500000</v>
      </c>
      <c r="J19" s="305"/>
      <c r="K19" s="306"/>
      <c r="L19" s="317">
        <f>+((L18*500000)/I18)</f>
        <v>233333.33333333334</v>
      </c>
      <c r="M19" s="318"/>
      <c r="N19" s="318"/>
      <c r="O19" s="318">
        <f>+((O18*500000)/I18)</f>
        <v>188888.88888888888</v>
      </c>
      <c r="P19" s="318"/>
      <c r="Q19" s="318"/>
      <c r="R19" s="318">
        <f>+((R18*500000)/I18)</f>
        <v>77777.777777777781</v>
      </c>
      <c r="S19" s="318"/>
      <c r="T19" s="318"/>
    </row>
    <row r="20" spans="2:21" s="2" customFormat="1" ht="15.75" x14ac:dyDescent="0.25">
      <c r="B20" s="55" t="s">
        <v>98</v>
      </c>
      <c r="C20" s="48"/>
      <c r="D20" s="48"/>
      <c r="E20" s="48"/>
      <c r="F20" s="48"/>
      <c r="G20" s="48"/>
      <c r="H20" s="48"/>
      <c r="I20" s="289">
        <f t="shared" si="0"/>
        <v>9910940</v>
      </c>
      <c r="J20" s="290"/>
      <c r="K20" s="291"/>
      <c r="L20" s="317">
        <f>SUM(L18:N19)</f>
        <v>4625105.333333333</v>
      </c>
      <c r="M20" s="318"/>
      <c r="N20" s="318"/>
      <c r="O20" s="318">
        <f>SUM(O18:Q19)</f>
        <v>3744132.888888889</v>
      </c>
      <c r="P20" s="318"/>
      <c r="Q20" s="318"/>
      <c r="R20" s="318">
        <f>SUM(R18:T19)</f>
        <v>1541701.7777777778</v>
      </c>
      <c r="S20" s="318"/>
      <c r="T20" s="318"/>
    </row>
    <row r="21" spans="2:21" s="2" customFormat="1" ht="15.75" x14ac:dyDescent="0.25">
      <c r="B21" s="55" t="s">
        <v>26</v>
      </c>
      <c r="C21" s="48"/>
      <c r="D21" s="48"/>
      <c r="E21" s="48"/>
      <c r="F21" s="48"/>
      <c r="G21" s="48"/>
      <c r="H21" s="48"/>
      <c r="I21" s="289">
        <f t="shared" si="0"/>
        <v>993450.24</v>
      </c>
      <c r="J21" s="290"/>
      <c r="K21" s="291"/>
      <c r="L21" s="317">
        <v>0</v>
      </c>
      <c r="M21" s="318"/>
      <c r="N21" s="318"/>
      <c r="O21" s="318">
        <f>+(O20+L19)*18%</f>
        <v>715943.92</v>
      </c>
      <c r="P21" s="318"/>
      <c r="Q21" s="318"/>
      <c r="R21" s="318">
        <f>+R20*18%</f>
        <v>277506.32</v>
      </c>
      <c r="S21" s="318"/>
      <c r="T21" s="318"/>
    </row>
    <row r="22" spans="2:21" s="1" customFormat="1" ht="15.75" x14ac:dyDescent="0.25">
      <c r="B22" s="57" t="s">
        <v>99</v>
      </c>
      <c r="C22" s="58"/>
      <c r="D22" s="58"/>
      <c r="E22" s="58"/>
      <c r="F22" s="58"/>
      <c r="G22" s="58"/>
      <c r="H22" s="58"/>
      <c r="I22" s="304">
        <f t="shared" si="0"/>
        <v>10904390.24</v>
      </c>
      <c r="J22" s="305"/>
      <c r="K22" s="306"/>
      <c r="L22" s="319">
        <f>SUM(L20:N21)</f>
        <v>4625105.333333333</v>
      </c>
      <c r="M22" s="320"/>
      <c r="N22" s="320"/>
      <c r="O22" s="320">
        <f>SUM(O20:Q21)</f>
        <v>4460076.8088888889</v>
      </c>
      <c r="P22" s="320"/>
      <c r="Q22" s="320"/>
      <c r="R22" s="320">
        <f>SUM(R20:T21)</f>
        <v>1819208.0977777778</v>
      </c>
      <c r="S22" s="320"/>
      <c r="T22" s="320"/>
    </row>
    <row r="23" spans="2:21" s="2" customFormat="1" ht="15.75" x14ac:dyDescent="0.25">
      <c r="B23" s="55" t="s">
        <v>100</v>
      </c>
      <c r="C23" s="48"/>
      <c r="D23" s="48"/>
      <c r="E23" s="48"/>
      <c r="F23" s="48"/>
      <c r="G23" s="48"/>
      <c r="H23" s="48"/>
      <c r="I23" s="289">
        <f t="shared" si="0"/>
        <v>3632355</v>
      </c>
      <c r="J23" s="290"/>
      <c r="K23" s="291"/>
      <c r="L23" s="317">
        <v>2100000</v>
      </c>
      <c r="M23" s="318"/>
      <c r="N23" s="318"/>
      <c r="O23" s="321"/>
      <c r="P23" s="321"/>
      <c r="Q23" s="321"/>
      <c r="R23" s="318">
        <f>100*15323.55</f>
        <v>1532355</v>
      </c>
      <c r="S23" s="318"/>
      <c r="T23" s="318"/>
    </row>
    <row r="24" spans="2:21" s="2" customFormat="1" ht="15.75" x14ac:dyDescent="0.25">
      <c r="B24" s="55" t="s">
        <v>194</v>
      </c>
      <c r="C24" s="48"/>
      <c r="D24" s="48"/>
      <c r="E24" s="48"/>
      <c r="F24" s="48"/>
      <c r="G24" s="48"/>
      <c r="H24" s="48"/>
      <c r="I24" s="289">
        <f t="shared" si="0"/>
        <v>-7312500</v>
      </c>
      <c r="J24" s="290"/>
      <c r="K24" s="291"/>
      <c r="L24" s="317">
        <f>-65%*L8</f>
        <v>-3412500</v>
      </c>
      <c r="M24" s="318"/>
      <c r="N24" s="318"/>
      <c r="O24" s="318">
        <f>-65%*O8</f>
        <v>-2762500</v>
      </c>
      <c r="P24" s="318"/>
      <c r="Q24" s="318"/>
      <c r="R24" s="318">
        <f>-65%*R8</f>
        <v>-1137500</v>
      </c>
      <c r="S24" s="318"/>
      <c r="T24" s="318"/>
    </row>
    <row r="25" spans="2:21" s="1" customFormat="1" ht="16.5" thickBot="1" x14ac:dyDescent="0.3">
      <c r="B25" s="292" t="s">
        <v>102</v>
      </c>
      <c r="C25" s="293"/>
      <c r="D25" s="293"/>
      <c r="E25" s="293"/>
      <c r="F25" s="293"/>
      <c r="G25" s="293"/>
      <c r="H25" s="294"/>
      <c r="I25" s="295">
        <f t="shared" si="0"/>
        <v>7224245.2400000002</v>
      </c>
      <c r="J25" s="296"/>
      <c r="K25" s="297"/>
      <c r="L25" s="319">
        <f>SUM(L22:N24)</f>
        <v>3312605.333333333</v>
      </c>
      <c r="M25" s="320"/>
      <c r="N25" s="320"/>
      <c r="O25" s="320">
        <f>SUM(O22:Q24)</f>
        <v>1697576.8088888889</v>
      </c>
      <c r="P25" s="320"/>
      <c r="Q25" s="320"/>
      <c r="R25" s="320">
        <f>SUM(R22:T24)</f>
        <v>2214063.0977777778</v>
      </c>
      <c r="S25" s="320"/>
      <c r="T25" s="320"/>
    </row>
    <row r="26" spans="2:21" s="2" customFormat="1" ht="15.75" x14ac:dyDescent="0.25">
      <c r="B26" s="42" t="s">
        <v>103</v>
      </c>
    </row>
    <row r="27" spans="2:21" s="63" customFormat="1" ht="15.75" x14ac:dyDescent="0.25">
      <c r="B27" s="64" t="s">
        <v>104</v>
      </c>
    </row>
    <row r="28" spans="2:21" s="65" customFormat="1" ht="15" customHeight="1" x14ac:dyDescent="0.25">
      <c r="B28" s="280" t="s">
        <v>105</v>
      </c>
      <c r="C28" s="281"/>
      <c r="D28" s="267" t="s">
        <v>106</v>
      </c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8" t="s">
        <v>51</v>
      </c>
      <c r="Q28" s="269"/>
      <c r="R28" s="269"/>
      <c r="S28" s="269"/>
      <c r="T28" s="269"/>
      <c r="U28" s="270"/>
    </row>
    <row r="29" spans="2:21" s="65" customFormat="1" ht="15.75" x14ac:dyDescent="0.25">
      <c r="B29" s="282"/>
      <c r="C29" s="283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8" t="s">
        <v>107</v>
      </c>
      <c r="Q29" s="269"/>
      <c r="R29" s="270"/>
      <c r="S29" s="268" t="s">
        <v>108</v>
      </c>
      <c r="T29" s="269"/>
      <c r="U29" s="270"/>
    </row>
    <row r="30" spans="2:21" s="65" customFormat="1" ht="15.75" x14ac:dyDescent="0.25">
      <c r="B30" s="276"/>
      <c r="C30" s="277"/>
      <c r="D30" s="278">
        <f>G2</f>
        <v>44287</v>
      </c>
      <c r="E30" s="279"/>
      <c r="F30" s="279"/>
      <c r="G30" s="66"/>
      <c r="H30" s="66"/>
      <c r="I30" s="66"/>
      <c r="J30" s="66"/>
      <c r="K30" s="66"/>
      <c r="L30" s="66"/>
      <c r="M30" s="66"/>
      <c r="N30" s="66"/>
      <c r="O30" s="67"/>
      <c r="P30" s="262"/>
      <c r="Q30" s="263"/>
      <c r="R30" s="264"/>
      <c r="S30" s="262"/>
      <c r="T30" s="263"/>
      <c r="U30" s="264"/>
    </row>
    <row r="31" spans="2:21" s="65" customFormat="1" ht="15.75" x14ac:dyDescent="0.25">
      <c r="B31" s="271">
        <v>515100</v>
      </c>
      <c r="C31" s="272"/>
      <c r="D31" s="68" t="s">
        <v>109</v>
      </c>
      <c r="E31" s="69"/>
      <c r="F31" s="69"/>
      <c r="G31" s="48"/>
      <c r="H31" s="48"/>
      <c r="I31" s="48"/>
      <c r="J31" s="48"/>
      <c r="K31" s="48"/>
      <c r="L31" s="48"/>
      <c r="M31" s="48"/>
      <c r="N31" s="48"/>
      <c r="O31" s="70"/>
      <c r="P31" s="254">
        <f>-I24</f>
        <v>7312500</v>
      </c>
      <c r="Q31" s="255"/>
      <c r="R31" s="256"/>
      <c r="S31" s="254"/>
      <c r="T31" s="255"/>
      <c r="U31" s="256"/>
    </row>
    <row r="32" spans="2:21" s="65" customFormat="1" ht="15.75" x14ac:dyDescent="0.25">
      <c r="B32" s="271">
        <v>419100</v>
      </c>
      <c r="C32" s="272"/>
      <c r="D32" s="68"/>
      <c r="E32" s="69"/>
      <c r="F32" s="69"/>
      <c r="G32" s="48"/>
      <c r="H32" s="48" t="s">
        <v>110</v>
      </c>
      <c r="I32" s="48"/>
      <c r="J32" s="48"/>
      <c r="K32" s="48"/>
      <c r="L32" s="48"/>
      <c r="M32" s="48"/>
      <c r="N32" s="48"/>
      <c r="O32" s="70"/>
      <c r="P32" s="254"/>
      <c r="Q32" s="255"/>
      <c r="R32" s="256"/>
      <c r="S32" s="254">
        <f>-I24</f>
        <v>7312500</v>
      </c>
      <c r="T32" s="255"/>
      <c r="U32" s="256"/>
    </row>
    <row r="33" spans="2:21" s="65" customFormat="1" ht="15.75" x14ac:dyDescent="0.25">
      <c r="B33" s="71"/>
      <c r="C33" s="72"/>
      <c r="D33" s="73" t="s">
        <v>111</v>
      </c>
      <c r="E33" s="74"/>
      <c r="F33" s="74"/>
      <c r="G33" s="75"/>
      <c r="H33" s="75"/>
      <c r="I33" s="75"/>
      <c r="J33" s="75"/>
      <c r="K33" s="75"/>
      <c r="L33" s="75"/>
      <c r="M33" s="75"/>
      <c r="N33" s="75"/>
      <c r="O33" s="76"/>
      <c r="P33" s="257"/>
      <c r="Q33" s="258"/>
      <c r="R33" s="259"/>
      <c r="S33" s="257"/>
      <c r="T33" s="258"/>
      <c r="U33" s="259"/>
    </row>
    <row r="34" spans="2:21" s="77" customFormat="1" ht="15.75" x14ac:dyDescent="0.25">
      <c r="B34" s="276"/>
      <c r="C34" s="277"/>
      <c r="D34" s="278">
        <f>G2</f>
        <v>44287</v>
      </c>
      <c r="E34" s="279"/>
      <c r="F34" s="279"/>
      <c r="G34" s="66"/>
      <c r="H34" s="66"/>
      <c r="I34" s="66"/>
      <c r="J34" s="66"/>
      <c r="K34" s="66"/>
      <c r="L34" s="66"/>
      <c r="M34" s="66"/>
      <c r="N34" s="66"/>
      <c r="O34" s="67"/>
      <c r="P34" s="262"/>
      <c r="Q34" s="263"/>
      <c r="R34" s="264"/>
      <c r="S34" s="262"/>
      <c r="T34" s="263"/>
      <c r="U34" s="264"/>
    </row>
    <row r="35" spans="2:21" s="77" customFormat="1" ht="15.75" x14ac:dyDescent="0.25">
      <c r="B35" s="271">
        <v>521100</v>
      </c>
      <c r="C35" s="272"/>
      <c r="D35" s="68" t="s">
        <v>112</v>
      </c>
      <c r="E35" s="69"/>
      <c r="F35" s="69"/>
      <c r="G35" s="48"/>
      <c r="H35" s="48"/>
      <c r="I35" s="48"/>
      <c r="J35" s="48"/>
      <c r="K35" s="48"/>
      <c r="L35" s="48"/>
      <c r="M35" s="48"/>
      <c r="N35" s="48"/>
      <c r="O35" s="70"/>
      <c r="P35" s="254">
        <f>S38-(P36+P37)</f>
        <v>7300000</v>
      </c>
      <c r="Q35" s="255"/>
      <c r="R35" s="256"/>
      <c r="S35" s="254"/>
      <c r="T35" s="255"/>
      <c r="U35" s="256"/>
    </row>
    <row r="36" spans="2:21" s="77" customFormat="1" ht="15.75" x14ac:dyDescent="0.25">
      <c r="B36" s="271">
        <v>631500</v>
      </c>
      <c r="C36" s="272"/>
      <c r="D36" s="68" t="s">
        <v>113</v>
      </c>
      <c r="E36" s="69"/>
      <c r="F36" s="69"/>
      <c r="G36" s="48"/>
      <c r="H36" s="48"/>
      <c r="I36" s="48"/>
      <c r="J36" s="48"/>
      <c r="K36" s="48"/>
      <c r="L36" s="48"/>
      <c r="M36" s="48"/>
      <c r="N36" s="48"/>
      <c r="O36" s="70"/>
      <c r="P36" s="254">
        <f>12500/1.1</f>
        <v>11363.636363636362</v>
      </c>
      <c r="Q36" s="255"/>
      <c r="R36" s="256"/>
      <c r="S36" s="254"/>
      <c r="T36" s="255"/>
      <c r="U36" s="256"/>
    </row>
    <row r="37" spans="2:21" s="77" customFormat="1" ht="15.75" x14ac:dyDescent="0.25">
      <c r="B37" s="271">
        <v>445400</v>
      </c>
      <c r="C37" s="272"/>
      <c r="D37" s="48" t="s">
        <v>114</v>
      </c>
      <c r="E37" s="69"/>
      <c r="F37" s="69"/>
      <c r="G37" s="48"/>
      <c r="H37" s="48"/>
      <c r="I37" s="48"/>
      <c r="J37" s="48"/>
      <c r="K37" s="48"/>
      <c r="L37" s="48"/>
      <c r="M37" s="48"/>
      <c r="N37" s="48"/>
      <c r="O37" s="70"/>
      <c r="P37" s="254">
        <f>+P36*0.1</f>
        <v>1136.3636363636363</v>
      </c>
      <c r="Q37" s="255"/>
      <c r="R37" s="256"/>
      <c r="S37" s="254"/>
      <c r="T37" s="255"/>
      <c r="U37" s="256"/>
    </row>
    <row r="38" spans="2:21" s="77" customFormat="1" ht="12.75" customHeight="1" x14ac:dyDescent="0.25">
      <c r="B38" s="271">
        <v>515100</v>
      </c>
      <c r="C38" s="272"/>
      <c r="D38" s="310"/>
      <c r="E38" s="288"/>
      <c r="F38" s="288"/>
      <c r="G38" s="48"/>
      <c r="H38" s="48"/>
      <c r="I38" s="48" t="s">
        <v>115</v>
      </c>
      <c r="J38" s="48"/>
      <c r="K38" s="48"/>
      <c r="L38" s="48"/>
      <c r="M38" s="48"/>
      <c r="N38" s="48"/>
      <c r="O38" s="70"/>
      <c r="P38" s="254"/>
      <c r="Q38" s="255"/>
      <c r="R38" s="256"/>
      <c r="S38" s="254">
        <f>-I24</f>
        <v>7312500</v>
      </c>
      <c r="T38" s="255"/>
      <c r="U38" s="256"/>
    </row>
    <row r="39" spans="2:21" s="77" customFormat="1" ht="15.75" x14ac:dyDescent="0.25">
      <c r="B39" s="315"/>
      <c r="C39" s="316"/>
      <c r="D39" s="73" t="s">
        <v>111</v>
      </c>
      <c r="E39" s="74"/>
      <c r="F39" s="74"/>
      <c r="G39" s="75"/>
      <c r="H39" s="75"/>
      <c r="I39" s="75"/>
      <c r="J39" s="75"/>
      <c r="K39" s="75"/>
      <c r="L39" s="75"/>
      <c r="M39" s="75"/>
      <c r="N39" s="75"/>
      <c r="O39" s="76"/>
      <c r="P39" s="257"/>
      <c r="Q39" s="258"/>
      <c r="R39" s="259"/>
      <c r="S39" s="257"/>
      <c r="T39" s="258"/>
      <c r="U39" s="259"/>
    </row>
    <row r="40" spans="2:21" s="65" customFormat="1" ht="15.75" x14ac:dyDescent="0.25">
      <c r="B40" s="78"/>
      <c r="C40" s="79"/>
      <c r="D40" s="310">
        <f>+D30</f>
        <v>44287</v>
      </c>
      <c r="E40" s="288"/>
      <c r="F40" s="288"/>
      <c r="G40" s="48"/>
      <c r="H40" s="48"/>
      <c r="I40" s="48"/>
      <c r="J40" s="48"/>
      <c r="K40" s="48"/>
      <c r="L40" s="48"/>
      <c r="M40" s="48"/>
      <c r="N40" s="48"/>
      <c r="O40" s="70"/>
      <c r="P40" s="254"/>
      <c r="Q40" s="255"/>
      <c r="R40" s="256"/>
      <c r="S40" s="254"/>
      <c r="T40" s="255"/>
      <c r="U40" s="256"/>
    </row>
    <row r="41" spans="2:21" s="65" customFormat="1" ht="15.75" x14ac:dyDescent="0.25">
      <c r="B41" s="271">
        <v>411100</v>
      </c>
      <c r="C41" s="272"/>
      <c r="D41" s="80" t="s">
        <v>116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70"/>
      <c r="P41" s="254">
        <f>I25</f>
        <v>7224245.2400000002</v>
      </c>
      <c r="Q41" s="255"/>
      <c r="R41" s="256"/>
      <c r="S41" s="254"/>
      <c r="T41" s="255"/>
      <c r="U41" s="256"/>
    </row>
    <row r="42" spans="2:21" s="65" customFormat="1" ht="15.75" x14ac:dyDescent="0.25">
      <c r="B42" s="271">
        <v>419100</v>
      </c>
      <c r="C42" s="272"/>
      <c r="D42" s="48" t="s">
        <v>117</v>
      </c>
      <c r="E42" s="48"/>
      <c r="F42" s="48"/>
      <c r="G42" s="48"/>
      <c r="H42" s="48"/>
      <c r="I42" s="314"/>
      <c r="J42" s="314"/>
      <c r="K42" s="48"/>
      <c r="L42" s="48"/>
      <c r="M42" s="48"/>
      <c r="N42" s="48"/>
      <c r="O42" s="70"/>
      <c r="P42" s="254">
        <f>-I24</f>
        <v>7312500</v>
      </c>
      <c r="Q42" s="255"/>
      <c r="R42" s="256"/>
      <c r="S42" s="254"/>
      <c r="T42" s="255"/>
      <c r="U42" s="256"/>
    </row>
    <row r="43" spans="2:21" s="65" customFormat="1" ht="13.5" customHeight="1" x14ac:dyDescent="0.25">
      <c r="B43" s="271">
        <v>673100</v>
      </c>
      <c r="C43" s="272"/>
      <c r="D43" s="80" t="s">
        <v>118</v>
      </c>
      <c r="E43" s="48"/>
      <c r="F43" s="48"/>
      <c r="G43" s="48"/>
      <c r="H43" s="48"/>
      <c r="I43" s="314"/>
      <c r="J43" s="314"/>
      <c r="K43" s="48"/>
      <c r="L43" s="48"/>
      <c r="M43" s="48"/>
      <c r="N43" s="48"/>
      <c r="O43" s="70"/>
      <c r="P43" s="254">
        <f>-I17</f>
        <v>291060</v>
      </c>
      <c r="Q43" s="255"/>
      <c r="R43" s="256"/>
      <c r="S43" s="254"/>
      <c r="T43" s="255"/>
      <c r="U43" s="256"/>
    </row>
    <row r="44" spans="2:21" s="65" customFormat="1" ht="15.75" x14ac:dyDescent="0.25">
      <c r="B44" s="271">
        <v>701100</v>
      </c>
      <c r="C44" s="272"/>
      <c r="D44" s="80"/>
      <c r="E44" s="48"/>
      <c r="F44" s="48"/>
      <c r="G44" s="48"/>
      <c r="H44" s="48" t="s">
        <v>119</v>
      </c>
      <c r="I44" s="48"/>
      <c r="J44" s="48"/>
      <c r="K44" s="48"/>
      <c r="L44" s="48"/>
      <c r="M44" s="48"/>
      <c r="N44" s="48"/>
      <c r="O44" s="70"/>
      <c r="P44" s="254"/>
      <c r="Q44" s="255"/>
      <c r="R44" s="256"/>
      <c r="S44" s="254">
        <f>I14</f>
        <v>9702000</v>
      </c>
      <c r="T44" s="255"/>
      <c r="U44" s="256"/>
    </row>
    <row r="45" spans="2:21" s="65" customFormat="1" ht="15.75" x14ac:dyDescent="0.25">
      <c r="B45" s="271">
        <v>443100</v>
      </c>
      <c r="C45" s="272"/>
      <c r="D45" s="80"/>
      <c r="E45" s="48"/>
      <c r="F45" s="48"/>
      <c r="G45" s="48"/>
      <c r="H45" s="48" t="s">
        <v>120</v>
      </c>
      <c r="I45" s="48"/>
      <c r="J45" s="48"/>
      <c r="K45" s="48"/>
      <c r="L45" s="48"/>
      <c r="M45" s="48"/>
      <c r="N45" s="48"/>
      <c r="O45" s="70"/>
      <c r="P45" s="254"/>
      <c r="Q45" s="255"/>
      <c r="R45" s="256"/>
      <c r="S45" s="254">
        <f>I21</f>
        <v>993450.24</v>
      </c>
      <c r="T45" s="255"/>
      <c r="U45" s="256"/>
    </row>
    <row r="46" spans="2:21" s="65" customFormat="1" ht="15.75" x14ac:dyDescent="0.25">
      <c r="B46" s="271">
        <v>707100</v>
      </c>
      <c r="C46" s="272"/>
      <c r="D46" s="80"/>
      <c r="E46" s="48"/>
      <c r="F46" s="48"/>
      <c r="G46" s="48"/>
      <c r="H46" s="48" t="s">
        <v>96</v>
      </c>
      <c r="I46" s="48"/>
      <c r="J46" s="48"/>
      <c r="K46" s="48"/>
      <c r="L46" s="48"/>
      <c r="M46" s="48"/>
      <c r="N46" s="48"/>
      <c r="O46" s="70"/>
      <c r="P46" s="254"/>
      <c r="Q46" s="255"/>
      <c r="R46" s="256"/>
      <c r="S46" s="254">
        <f>I19</f>
        <v>500000</v>
      </c>
      <c r="T46" s="255"/>
      <c r="U46" s="256"/>
    </row>
    <row r="47" spans="2:21" s="65" customFormat="1" ht="15.75" x14ac:dyDescent="0.25">
      <c r="B47" s="271">
        <v>419400</v>
      </c>
      <c r="C47" s="272"/>
      <c r="D47" s="80"/>
      <c r="E47" s="48"/>
      <c r="F47" s="48"/>
      <c r="G47" s="48"/>
      <c r="H47" s="48" t="s">
        <v>121</v>
      </c>
      <c r="I47" s="48"/>
      <c r="J47" s="48"/>
      <c r="K47" s="48"/>
      <c r="L47" s="48"/>
      <c r="M47" s="48"/>
      <c r="N47" s="48"/>
      <c r="O47" s="70"/>
      <c r="P47" s="254"/>
      <c r="Q47" s="255"/>
      <c r="R47" s="256"/>
      <c r="S47" s="254">
        <f>I23</f>
        <v>3632355</v>
      </c>
      <c r="T47" s="255"/>
      <c r="U47" s="256"/>
    </row>
    <row r="48" spans="2:21" s="65" customFormat="1" ht="15.75" x14ac:dyDescent="0.25">
      <c r="B48" s="81"/>
      <c r="C48" s="75"/>
      <c r="D48" s="82" t="str">
        <f>B3</f>
        <v>Facture N°300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6"/>
      <c r="P48" s="257"/>
      <c r="Q48" s="258"/>
      <c r="R48" s="259"/>
      <c r="S48" s="257"/>
      <c r="T48" s="258"/>
      <c r="U48" s="259"/>
    </row>
    <row r="49" spans="2:21" s="83" customFormat="1" ht="15.75" x14ac:dyDescent="0.25">
      <c r="P49" s="265">
        <f>SUM(P30:R46)</f>
        <v>29452805.240000002</v>
      </c>
      <c r="Q49" s="265"/>
      <c r="R49" s="265"/>
      <c r="S49" s="265">
        <f>SUM(S30:U47)</f>
        <v>29452805.239999998</v>
      </c>
      <c r="T49" s="265"/>
      <c r="U49" s="265"/>
    </row>
    <row r="50" spans="2:21" s="63" customFormat="1" ht="15.75" x14ac:dyDescent="0.25">
      <c r="B50" s="64" t="s">
        <v>122</v>
      </c>
    </row>
    <row r="51" spans="2:21" s="65" customFormat="1" ht="15.75" x14ac:dyDescent="0.25">
      <c r="B51" s="266" t="s">
        <v>105</v>
      </c>
      <c r="C51" s="266"/>
      <c r="D51" s="267" t="s">
        <v>106</v>
      </c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8" t="s">
        <v>51</v>
      </c>
      <c r="Q51" s="269"/>
      <c r="R51" s="269"/>
      <c r="S51" s="269"/>
      <c r="T51" s="269"/>
      <c r="U51" s="270"/>
    </row>
    <row r="52" spans="2:21" s="65" customFormat="1" ht="15.75" x14ac:dyDescent="0.25">
      <c r="B52" s="266"/>
      <c r="C52" s="266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8" t="s">
        <v>107</v>
      </c>
      <c r="Q52" s="269"/>
      <c r="R52" s="270"/>
      <c r="S52" s="268" t="s">
        <v>108</v>
      </c>
      <c r="T52" s="269"/>
      <c r="U52" s="270"/>
    </row>
    <row r="53" spans="2:21" s="65" customFormat="1" ht="15.75" x14ac:dyDescent="0.25">
      <c r="B53" s="84"/>
      <c r="C53" s="85"/>
      <c r="D53" s="260">
        <f>+D30</f>
        <v>44287</v>
      </c>
      <c r="E53" s="261"/>
      <c r="F53" s="261"/>
      <c r="G53" s="86"/>
      <c r="H53" s="86"/>
      <c r="I53" s="86"/>
      <c r="J53" s="86"/>
      <c r="K53" s="86"/>
      <c r="L53" s="86"/>
      <c r="M53" s="86"/>
      <c r="N53" s="86"/>
      <c r="O53" s="87"/>
      <c r="P53" s="262"/>
      <c r="Q53" s="263"/>
      <c r="R53" s="264"/>
      <c r="S53" s="262"/>
      <c r="T53" s="263"/>
      <c r="U53" s="264"/>
    </row>
    <row r="54" spans="2:21" s="65" customFormat="1" ht="15.75" x14ac:dyDescent="0.25">
      <c r="B54" s="252">
        <v>252100</v>
      </c>
      <c r="C54" s="253"/>
      <c r="D54" s="88" t="s">
        <v>123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90"/>
      <c r="P54" s="254">
        <f>-L24-O24</f>
        <v>6175000</v>
      </c>
      <c r="Q54" s="255"/>
      <c r="R54" s="256"/>
      <c r="S54" s="254"/>
      <c r="T54" s="255"/>
      <c r="U54" s="256"/>
    </row>
    <row r="55" spans="2:21" s="65" customFormat="1" ht="15.75" x14ac:dyDescent="0.25">
      <c r="B55" s="252">
        <v>409100</v>
      </c>
      <c r="C55" s="253"/>
      <c r="D55" s="88" t="s">
        <v>124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90"/>
      <c r="P55" s="254">
        <f>-R24</f>
        <v>1137500</v>
      </c>
      <c r="Q55" s="255"/>
      <c r="R55" s="256"/>
      <c r="S55" s="254"/>
      <c r="T55" s="255"/>
      <c r="U55" s="256"/>
    </row>
    <row r="56" spans="2:21" s="65" customFormat="1" ht="15.75" x14ac:dyDescent="0.25">
      <c r="B56" s="252">
        <v>521100</v>
      </c>
      <c r="C56" s="253"/>
      <c r="D56" s="91"/>
      <c r="E56" s="89"/>
      <c r="F56" s="89"/>
      <c r="G56" s="89"/>
      <c r="H56" s="92" t="s">
        <v>112</v>
      </c>
      <c r="I56" s="89"/>
      <c r="J56" s="89"/>
      <c r="K56" s="89"/>
      <c r="L56" s="89"/>
      <c r="M56" s="89"/>
      <c r="N56" s="89"/>
      <c r="O56" s="90"/>
      <c r="P56" s="254"/>
      <c r="Q56" s="255"/>
      <c r="R56" s="256"/>
      <c r="S56" s="254">
        <f>-I24</f>
        <v>7312500</v>
      </c>
      <c r="T56" s="255"/>
      <c r="U56" s="256"/>
    </row>
    <row r="57" spans="2:21" s="65" customFormat="1" ht="15.75" x14ac:dyDescent="0.25">
      <c r="B57" s="93"/>
      <c r="C57" s="94"/>
      <c r="D57" s="88" t="s">
        <v>125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90"/>
      <c r="P57" s="257"/>
      <c r="Q57" s="258"/>
      <c r="R57" s="259"/>
      <c r="S57" s="257"/>
      <c r="T57" s="258"/>
      <c r="U57" s="259"/>
    </row>
    <row r="58" spans="2:21" s="65" customFormat="1" ht="15.75" x14ac:dyDescent="0.25">
      <c r="B58" s="276"/>
      <c r="C58" s="277"/>
      <c r="D58" s="278">
        <f>G2</f>
        <v>44287</v>
      </c>
      <c r="E58" s="279"/>
      <c r="F58" s="279"/>
      <c r="G58" s="66"/>
      <c r="H58" s="66"/>
      <c r="I58" s="66"/>
      <c r="J58" s="66"/>
      <c r="K58" s="66"/>
      <c r="L58" s="66"/>
      <c r="M58" s="66"/>
      <c r="N58" s="66"/>
      <c r="O58" s="67"/>
      <c r="P58" s="262"/>
      <c r="Q58" s="263"/>
      <c r="R58" s="264"/>
      <c r="S58" s="262"/>
      <c r="T58" s="263"/>
      <c r="U58" s="264"/>
    </row>
    <row r="59" spans="2:21" s="65" customFormat="1" ht="15.75" x14ac:dyDescent="0.25">
      <c r="B59" s="271">
        <v>244400</v>
      </c>
      <c r="C59" s="272"/>
      <c r="D59" s="80" t="s">
        <v>12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70"/>
      <c r="P59" s="254">
        <f>L22</f>
        <v>4625105.333333333</v>
      </c>
      <c r="Q59" s="255"/>
      <c r="R59" s="256"/>
      <c r="S59" s="254"/>
      <c r="T59" s="255"/>
      <c r="U59" s="256"/>
    </row>
    <row r="60" spans="2:21" s="65" customFormat="1" ht="15.75" x14ac:dyDescent="0.25">
      <c r="B60" s="271">
        <v>244100</v>
      </c>
      <c r="C60" s="272"/>
      <c r="D60" s="80" t="s">
        <v>89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70"/>
      <c r="P60" s="254">
        <f>O20</f>
        <v>3744132.888888889</v>
      </c>
      <c r="Q60" s="255"/>
      <c r="R60" s="256"/>
      <c r="S60" s="254"/>
      <c r="T60" s="255"/>
      <c r="U60" s="256"/>
    </row>
    <row r="61" spans="2:21" s="65" customFormat="1" ht="15.75" x14ac:dyDescent="0.25">
      <c r="B61" s="271">
        <v>445100</v>
      </c>
      <c r="C61" s="272"/>
      <c r="D61" s="80" t="s">
        <v>126</v>
      </c>
      <c r="E61" s="48"/>
      <c r="F61" s="48"/>
      <c r="G61" s="48"/>
      <c r="H61" s="48"/>
      <c r="I61" s="61"/>
      <c r="J61" s="61"/>
      <c r="K61" s="48"/>
      <c r="L61" s="48"/>
      <c r="M61" s="48"/>
      <c r="N61" s="48"/>
      <c r="O61" s="70"/>
      <c r="P61" s="254">
        <f>L21+O21</f>
        <v>715943.92</v>
      </c>
      <c r="Q61" s="255"/>
      <c r="R61" s="256"/>
      <c r="S61" s="254"/>
      <c r="T61" s="255"/>
      <c r="U61" s="256"/>
    </row>
    <row r="62" spans="2:21" s="65" customFormat="1" ht="15.75" x14ac:dyDescent="0.25">
      <c r="B62" s="271">
        <v>604700</v>
      </c>
      <c r="C62" s="272"/>
      <c r="D62" s="80" t="s">
        <v>127</v>
      </c>
      <c r="E62" s="48"/>
      <c r="F62" s="48"/>
      <c r="G62" s="48"/>
      <c r="H62" s="48"/>
      <c r="I62" s="61"/>
      <c r="J62" s="61"/>
      <c r="K62" s="48"/>
      <c r="L62" s="48"/>
      <c r="M62" s="48"/>
      <c r="N62" s="48"/>
      <c r="O62" s="70"/>
      <c r="P62" s="254">
        <f>R14</f>
        <v>1509200</v>
      </c>
      <c r="Q62" s="255"/>
      <c r="R62" s="256"/>
      <c r="S62" s="254"/>
      <c r="T62" s="255"/>
      <c r="U62" s="256"/>
    </row>
    <row r="63" spans="2:21" s="65" customFormat="1" ht="15.75" x14ac:dyDescent="0.25">
      <c r="B63" s="271">
        <v>445200</v>
      </c>
      <c r="C63" s="272"/>
      <c r="D63" s="80" t="s">
        <v>128</v>
      </c>
      <c r="E63" s="48"/>
      <c r="F63" s="48"/>
      <c r="G63" s="48"/>
      <c r="H63" s="48"/>
      <c r="I63" s="61"/>
      <c r="J63" s="61"/>
      <c r="K63" s="48"/>
      <c r="L63" s="48"/>
      <c r="M63" s="48"/>
      <c r="N63" s="48"/>
      <c r="O63" s="70"/>
      <c r="P63" s="254">
        <f>R21</f>
        <v>277506.32</v>
      </c>
      <c r="Q63" s="255"/>
      <c r="R63" s="256"/>
      <c r="S63" s="254"/>
      <c r="T63" s="255"/>
      <c r="U63" s="256"/>
    </row>
    <row r="64" spans="2:21" s="65" customFormat="1" ht="15.75" x14ac:dyDescent="0.25">
      <c r="B64" s="271">
        <v>604500</v>
      </c>
      <c r="C64" s="272"/>
      <c r="D64" s="80" t="s">
        <v>129</v>
      </c>
      <c r="E64" s="48"/>
      <c r="F64" s="48"/>
      <c r="G64" s="48"/>
      <c r="H64" s="48"/>
      <c r="I64" s="61"/>
      <c r="J64" s="61"/>
      <c r="K64" s="48"/>
      <c r="L64" s="48"/>
      <c r="M64" s="48"/>
      <c r="N64" s="48"/>
      <c r="O64" s="70"/>
      <c r="P64" s="254">
        <f>R19</f>
        <v>77777.777777777781</v>
      </c>
      <c r="Q64" s="255"/>
      <c r="R64" s="256"/>
      <c r="S64" s="254"/>
      <c r="T64" s="255"/>
      <c r="U64" s="256"/>
    </row>
    <row r="65" spans="2:25" s="65" customFormat="1" ht="15.75" x14ac:dyDescent="0.25">
      <c r="B65" s="271">
        <v>409400</v>
      </c>
      <c r="C65" s="272"/>
      <c r="D65" s="48" t="s">
        <v>130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70"/>
      <c r="P65" s="254">
        <f>I23</f>
        <v>3632355</v>
      </c>
      <c r="Q65" s="255"/>
      <c r="R65" s="256"/>
      <c r="S65" s="254"/>
      <c r="T65" s="255"/>
      <c r="U65" s="256"/>
    </row>
    <row r="66" spans="2:25" s="65" customFormat="1" ht="15.75" x14ac:dyDescent="0.25">
      <c r="B66" s="271">
        <v>401100</v>
      </c>
      <c r="C66" s="272"/>
      <c r="D66" s="80"/>
      <c r="E66" s="48"/>
      <c r="F66" s="48"/>
      <c r="G66" s="48"/>
      <c r="H66" s="48" t="s">
        <v>131</v>
      </c>
      <c r="I66" s="48"/>
      <c r="J66" s="48"/>
      <c r="K66" s="48"/>
      <c r="L66" s="48"/>
      <c r="M66" s="48"/>
      <c r="N66" s="48"/>
      <c r="O66" s="70"/>
      <c r="P66" s="254"/>
      <c r="Q66" s="255"/>
      <c r="R66" s="256"/>
      <c r="S66" s="254">
        <f>R25</f>
        <v>2214063.0977777778</v>
      </c>
      <c r="T66" s="255"/>
      <c r="U66" s="256"/>
    </row>
    <row r="67" spans="2:25" s="65" customFormat="1" ht="15.75" x14ac:dyDescent="0.25">
      <c r="B67" s="271">
        <v>404200</v>
      </c>
      <c r="C67" s="272"/>
      <c r="D67" s="80"/>
      <c r="E67" s="48"/>
      <c r="F67" s="48"/>
      <c r="G67" s="48"/>
      <c r="H67" s="48" t="s">
        <v>132</v>
      </c>
      <c r="I67" s="48"/>
      <c r="J67" s="48"/>
      <c r="K67" s="48"/>
      <c r="L67" s="48"/>
      <c r="M67" s="48"/>
      <c r="N67" s="48"/>
      <c r="O67" s="70"/>
      <c r="P67" s="254"/>
      <c r="Q67" s="255"/>
      <c r="R67" s="256"/>
      <c r="S67" s="254">
        <f>L25+O25</f>
        <v>5010182.1422222219</v>
      </c>
      <c r="T67" s="255"/>
      <c r="U67" s="256"/>
    </row>
    <row r="68" spans="2:25" s="65" customFormat="1" ht="15.75" x14ac:dyDescent="0.25">
      <c r="B68" s="271">
        <v>409100</v>
      </c>
      <c r="C68" s="272"/>
      <c r="D68" s="80"/>
      <c r="E68" s="48"/>
      <c r="F68" s="48"/>
      <c r="G68" s="48"/>
      <c r="H68" s="48" t="s">
        <v>133</v>
      </c>
      <c r="I68" s="48"/>
      <c r="J68" s="48"/>
      <c r="K68" s="48"/>
      <c r="L68" s="48"/>
      <c r="M68" s="48"/>
      <c r="N68" s="48"/>
      <c r="O68" s="70"/>
      <c r="P68" s="254"/>
      <c r="Q68" s="255"/>
      <c r="R68" s="256"/>
      <c r="S68" s="254">
        <f>-R24</f>
        <v>1137500</v>
      </c>
      <c r="T68" s="255"/>
      <c r="U68" s="256"/>
    </row>
    <row r="69" spans="2:25" s="65" customFormat="1" ht="15" customHeight="1" x14ac:dyDescent="0.25">
      <c r="B69" s="271">
        <v>252100</v>
      </c>
      <c r="C69" s="272"/>
      <c r="D69" s="80"/>
      <c r="E69" s="48"/>
      <c r="F69" s="48"/>
      <c r="G69" s="48"/>
      <c r="H69" s="48" t="s">
        <v>133</v>
      </c>
      <c r="I69" s="48"/>
      <c r="J69" s="48"/>
      <c r="K69" s="48"/>
      <c r="L69" s="48"/>
      <c r="M69" s="48"/>
      <c r="N69" s="48"/>
      <c r="O69" s="70"/>
      <c r="P69" s="254"/>
      <c r="Q69" s="255"/>
      <c r="R69" s="256"/>
      <c r="S69" s="254">
        <f>-L24-O24</f>
        <v>6175000</v>
      </c>
      <c r="T69" s="255"/>
      <c r="U69" s="256"/>
    </row>
    <row r="70" spans="2:25" s="65" customFormat="1" ht="15.75" customHeight="1" x14ac:dyDescent="0.25">
      <c r="B70" s="271">
        <v>773100</v>
      </c>
      <c r="C70" s="272"/>
      <c r="D70" s="80"/>
      <c r="E70" s="48"/>
      <c r="F70" s="48"/>
      <c r="G70" s="48"/>
      <c r="H70" s="48" t="s">
        <v>134</v>
      </c>
      <c r="I70" s="48"/>
      <c r="J70" s="48"/>
      <c r="K70" s="48"/>
      <c r="L70" s="48"/>
      <c r="M70" s="48"/>
      <c r="N70" s="48"/>
      <c r="O70" s="70"/>
      <c r="P70" s="254"/>
      <c r="Q70" s="255"/>
      <c r="R70" s="256"/>
      <c r="S70" s="254">
        <f>-R17</f>
        <v>45276</v>
      </c>
      <c r="T70" s="255"/>
      <c r="U70" s="256"/>
    </row>
    <row r="71" spans="2:25" s="65" customFormat="1" ht="12.75" customHeight="1" x14ac:dyDescent="0.25">
      <c r="B71" s="81"/>
      <c r="C71" s="76"/>
      <c r="D71" s="82" t="str">
        <f>B3</f>
        <v>Facture N°300</v>
      </c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257"/>
      <c r="Q71" s="258"/>
      <c r="R71" s="259"/>
      <c r="S71" s="257"/>
      <c r="T71" s="258"/>
      <c r="U71" s="259"/>
    </row>
    <row r="72" spans="2:25" s="83" customFormat="1" ht="15.75" x14ac:dyDescent="0.25">
      <c r="P72" s="265">
        <f>SUM(P53:R70)</f>
        <v>21894521.239999995</v>
      </c>
      <c r="Q72" s="265"/>
      <c r="R72" s="265"/>
      <c r="S72" s="265">
        <f>SUM(S53:U70)</f>
        <v>21894521.240000002</v>
      </c>
      <c r="T72" s="265"/>
      <c r="U72" s="265"/>
      <c r="W72" s="298"/>
      <c r="X72" s="299"/>
      <c r="Y72" s="299"/>
    </row>
    <row r="73" spans="2:25" s="2" customFormat="1" ht="16.5" thickBot="1" x14ac:dyDescent="0.3">
      <c r="B73" s="2" t="s">
        <v>135</v>
      </c>
    </row>
    <row r="74" spans="2:25" s="2" customFormat="1" ht="15.75" x14ac:dyDescent="0.25">
      <c r="B74" s="43" t="s">
        <v>2</v>
      </c>
      <c r="C74" s="44"/>
      <c r="D74" s="44"/>
      <c r="E74" s="44"/>
      <c r="F74" s="44"/>
      <c r="G74" s="300">
        <v>44301</v>
      </c>
      <c r="H74" s="300"/>
      <c r="I74" s="300"/>
      <c r="J74" s="45"/>
      <c r="K74" s="46"/>
    </row>
    <row r="75" spans="2:25" s="2" customFormat="1" ht="15.75" x14ac:dyDescent="0.25">
      <c r="B75" s="55" t="s">
        <v>136</v>
      </c>
      <c r="C75" s="48"/>
      <c r="D75" s="48"/>
      <c r="E75" s="48"/>
      <c r="F75" s="48"/>
      <c r="G75" s="48" t="s">
        <v>137</v>
      </c>
      <c r="H75" s="48"/>
      <c r="I75" s="48"/>
      <c r="J75" s="48"/>
      <c r="K75" s="49"/>
    </row>
    <row r="76" spans="2:25" s="2" customFormat="1" ht="16.5" thickBot="1" x14ac:dyDescent="0.3">
      <c r="B76" s="301"/>
      <c r="C76" s="302"/>
      <c r="D76" s="302"/>
      <c r="E76" s="50"/>
      <c r="F76" s="50"/>
      <c r="G76" s="51" t="s">
        <v>88</v>
      </c>
      <c r="H76" s="52"/>
      <c r="I76" s="50"/>
      <c r="J76" s="50"/>
      <c r="K76" s="53"/>
    </row>
    <row r="77" spans="2:25" s="2" customFormat="1" ht="15.75" x14ac:dyDescent="0.25">
      <c r="B77" s="55" t="s">
        <v>99</v>
      </c>
      <c r="C77" s="48"/>
      <c r="D77" s="48"/>
      <c r="E77" s="48"/>
      <c r="F77" s="48"/>
      <c r="G77" s="48"/>
      <c r="H77" s="48"/>
      <c r="I77" s="289">
        <f>I22</f>
        <v>10904390.24</v>
      </c>
      <c r="J77" s="290"/>
      <c r="K77" s="291"/>
    </row>
    <row r="78" spans="2:25" s="2" customFormat="1" ht="15.75" x14ac:dyDescent="0.25">
      <c r="B78" s="55" t="s">
        <v>138</v>
      </c>
      <c r="C78" s="48"/>
      <c r="D78" s="48"/>
      <c r="E78" s="48"/>
      <c r="F78" s="48"/>
      <c r="G78" s="48"/>
      <c r="H78" s="48"/>
      <c r="I78" s="304">
        <f>-0.0205646533*I22</f>
        <v>-224245.0047335038</v>
      </c>
      <c r="J78" s="305"/>
      <c r="K78" s="306"/>
    </row>
    <row r="79" spans="2:25" s="2" customFormat="1" ht="15.75" x14ac:dyDescent="0.25">
      <c r="B79" s="55" t="s">
        <v>100</v>
      </c>
      <c r="C79" s="48"/>
      <c r="D79" s="48"/>
      <c r="E79" s="48"/>
      <c r="F79" s="48"/>
      <c r="G79" s="48"/>
      <c r="H79" s="48"/>
      <c r="I79" s="289">
        <f>I23</f>
        <v>3632355</v>
      </c>
      <c r="J79" s="290"/>
      <c r="K79" s="291"/>
    </row>
    <row r="80" spans="2:25" s="2" customFormat="1" ht="15.75" x14ac:dyDescent="0.25">
      <c r="B80" s="55" t="s">
        <v>101</v>
      </c>
      <c r="C80" s="48"/>
      <c r="D80" s="48"/>
      <c r="E80" s="48"/>
      <c r="F80" s="48"/>
      <c r="G80" s="48"/>
      <c r="H80" s="48"/>
      <c r="I80" s="289">
        <f>I24</f>
        <v>-7312500</v>
      </c>
      <c r="J80" s="290"/>
      <c r="K80" s="291"/>
    </row>
    <row r="81" spans="2:21" s="2" customFormat="1" ht="16.5" thickBot="1" x14ac:dyDescent="0.3">
      <c r="B81" s="292" t="s">
        <v>102</v>
      </c>
      <c r="C81" s="293"/>
      <c r="D81" s="293"/>
      <c r="E81" s="293"/>
      <c r="F81" s="293"/>
      <c r="G81" s="293"/>
      <c r="H81" s="294"/>
      <c r="I81" s="295">
        <f>SUM(I77:K80)</f>
        <v>7000000.2352664955</v>
      </c>
      <c r="J81" s="296"/>
      <c r="K81" s="297"/>
    </row>
    <row r="82" spans="2:21" s="2" customFormat="1" ht="15.75" x14ac:dyDescent="0.25">
      <c r="B82" s="42" t="s">
        <v>139</v>
      </c>
    </row>
    <row r="83" spans="2:21" s="63" customFormat="1" ht="15.75" x14ac:dyDescent="0.25">
      <c r="B83" s="64" t="s">
        <v>104</v>
      </c>
    </row>
    <row r="84" spans="2:21" s="65" customFormat="1" ht="15" customHeight="1" x14ac:dyDescent="0.25">
      <c r="B84" s="280" t="s">
        <v>105</v>
      </c>
      <c r="C84" s="281"/>
      <c r="D84" s="267" t="s">
        <v>106</v>
      </c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8" t="s">
        <v>51</v>
      </c>
      <c r="Q84" s="269"/>
      <c r="R84" s="269"/>
      <c r="S84" s="269"/>
      <c r="T84" s="269"/>
      <c r="U84" s="270"/>
    </row>
    <row r="85" spans="2:21" s="65" customFormat="1" ht="15.75" x14ac:dyDescent="0.25">
      <c r="B85" s="282"/>
      <c r="C85" s="283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8" t="s">
        <v>107</v>
      </c>
      <c r="Q85" s="269"/>
      <c r="R85" s="270"/>
      <c r="S85" s="268" t="s">
        <v>108</v>
      </c>
      <c r="T85" s="269"/>
      <c r="U85" s="270"/>
    </row>
    <row r="86" spans="2:21" s="65" customFormat="1" ht="15.75" x14ac:dyDescent="0.25">
      <c r="B86" s="276"/>
      <c r="C86" s="277"/>
      <c r="D86" s="278">
        <f>G74</f>
        <v>44301</v>
      </c>
      <c r="E86" s="279"/>
      <c r="F86" s="279"/>
      <c r="G86" s="66"/>
      <c r="H86" s="66"/>
      <c r="I86" s="66"/>
      <c r="J86" s="66"/>
      <c r="K86" s="66"/>
      <c r="L86" s="66"/>
      <c r="M86" s="66"/>
      <c r="N86" s="66"/>
      <c r="O86" s="67"/>
      <c r="P86" s="262"/>
      <c r="Q86" s="263"/>
      <c r="R86" s="264"/>
      <c r="S86" s="262"/>
      <c r="T86" s="263"/>
      <c r="U86" s="264"/>
    </row>
    <row r="87" spans="2:21" s="65" customFormat="1" ht="15.75" x14ac:dyDescent="0.25">
      <c r="B87" s="271">
        <v>701100</v>
      </c>
      <c r="C87" s="272"/>
      <c r="D87" s="68" t="s">
        <v>140</v>
      </c>
      <c r="E87" s="69"/>
      <c r="F87" s="69"/>
      <c r="G87" s="48"/>
      <c r="H87" s="48"/>
      <c r="I87" s="48"/>
      <c r="J87" s="48"/>
      <c r="K87" s="48"/>
      <c r="L87" s="48"/>
      <c r="M87" s="48"/>
      <c r="N87" s="48"/>
      <c r="O87" s="70"/>
      <c r="P87" s="254">
        <f>-I78</f>
        <v>224245.0047335038</v>
      </c>
      <c r="Q87" s="255"/>
      <c r="R87" s="256"/>
      <c r="S87" s="254"/>
      <c r="T87" s="255"/>
      <c r="U87" s="256"/>
    </row>
    <row r="88" spans="2:21" s="65" customFormat="1" ht="15.75" x14ac:dyDescent="0.25">
      <c r="B88" s="271">
        <v>411100</v>
      </c>
      <c r="C88" s="272"/>
      <c r="D88" s="68"/>
      <c r="E88" s="69"/>
      <c r="F88" s="69"/>
      <c r="G88" s="48"/>
      <c r="H88" s="48" t="s">
        <v>116</v>
      </c>
      <c r="I88" s="48"/>
      <c r="J88" s="48"/>
      <c r="K88" s="48"/>
      <c r="L88" s="48"/>
      <c r="M88" s="48"/>
      <c r="N88" s="48"/>
      <c r="O88" s="70"/>
      <c r="P88" s="254"/>
      <c r="Q88" s="255"/>
      <c r="R88" s="256"/>
      <c r="S88" s="254">
        <f>-I78</f>
        <v>224245.0047335038</v>
      </c>
      <c r="T88" s="255"/>
      <c r="U88" s="256"/>
    </row>
    <row r="89" spans="2:21" s="65" customFormat="1" ht="15.75" x14ac:dyDescent="0.25">
      <c r="B89" s="71"/>
      <c r="C89" s="72"/>
      <c r="D89" s="73" t="str">
        <f>B75</f>
        <v xml:space="preserve">N/AV N°300-1 </v>
      </c>
      <c r="E89" s="74"/>
      <c r="F89" s="74"/>
      <c r="G89" s="75"/>
      <c r="H89" s="75"/>
      <c r="I89" s="75"/>
      <c r="J89" s="75"/>
      <c r="K89" s="75"/>
      <c r="L89" s="75"/>
      <c r="M89" s="75"/>
      <c r="N89" s="75"/>
      <c r="O89" s="76"/>
      <c r="P89" s="257"/>
      <c r="Q89" s="258"/>
      <c r="R89" s="259"/>
      <c r="S89" s="257"/>
      <c r="T89" s="258"/>
      <c r="U89" s="259"/>
    </row>
    <row r="90" spans="2:21" s="83" customFormat="1" ht="15.75" x14ac:dyDescent="0.25">
      <c r="P90" s="265">
        <f>SUM(P86:R89)</f>
        <v>224245.0047335038</v>
      </c>
      <c r="Q90" s="265"/>
      <c r="R90" s="265"/>
      <c r="S90" s="265">
        <f>SUM(S86:U89)</f>
        <v>224245.0047335038</v>
      </c>
      <c r="T90" s="265"/>
      <c r="U90" s="265"/>
    </row>
    <row r="91" spans="2:21" s="63" customFormat="1" ht="15.75" x14ac:dyDescent="0.25">
      <c r="B91" s="64" t="s">
        <v>122</v>
      </c>
    </row>
    <row r="92" spans="2:21" s="65" customFormat="1" ht="15.75" x14ac:dyDescent="0.25">
      <c r="B92" s="266" t="s">
        <v>105</v>
      </c>
      <c r="C92" s="266"/>
      <c r="D92" s="267" t="s">
        <v>106</v>
      </c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8" t="s">
        <v>51</v>
      </c>
      <c r="Q92" s="269"/>
      <c r="R92" s="269"/>
      <c r="S92" s="269"/>
      <c r="T92" s="269"/>
      <c r="U92" s="270"/>
    </row>
    <row r="93" spans="2:21" s="65" customFormat="1" ht="15.75" x14ac:dyDescent="0.25">
      <c r="B93" s="266"/>
      <c r="C93" s="266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8" t="s">
        <v>107</v>
      </c>
      <c r="Q93" s="269"/>
      <c r="R93" s="270"/>
      <c r="S93" s="268" t="s">
        <v>108</v>
      </c>
      <c r="T93" s="269"/>
      <c r="U93" s="270"/>
    </row>
    <row r="94" spans="2:21" s="65" customFormat="1" ht="15.75" x14ac:dyDescent="0.25">
      <c r="B94" s="84"/>
      <c r="C94" s="85"/>
      <c r="D94" s="260">
        <f>+D86</f>
        <v>44301</v>
      </c>
      <c r="E94" s="261"/>
      <c r="F94" s="261"/>
      <c r="G94" s="86"/>
      <c r="H94" s="86"/>
      <c r="I94" s="86"/>
      <c r="J94" s="86"/>
      <c r="K94" s="86"/>
      <c r="L94" s="86"/>
      <c r="M94" s="86"/>
      <c r="N94" s="86"/>
      <c r="O94" s="87"/>
      <c r="P94" s="262"/>
      <c r="Q94" s="263"/>
      <c r="R94" s="264"/>
      <c r="S94" s="262"/>
      <c r="T94" s="263"/>
      <c r="U94" s="264"/>
    </row>
    <row r="95" spans="2:21" s="65" customFormat="1" ht="15.75" x14ac:dyDescent="0.25">
      <c r="B95" s="252">
        <v>401100</v>
      </c>
      <c r="C95" s="253"/>
      <c r="D95" s="88" t="s">
        <v>141</v>
      </c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90"/>
      <c r="P95" s="254">
        <f>-I78</f>
        <v>224245.0047335038</v>
      </c>
      <c r="Q95" s="255"/>
      <c r="R95" s="256"/>
      <c r="S95" s="254"/>
      <c r="T95" s="255"/>
      <c r="U95" s="256"/>
    </row>
    <row r="96" spans="2:21" s="65" customFormat="1" ht="15.75" x14ac:dyDescent="0.25">
      <c r="B96" s="252">
        <v>604970</v>
      </c>
      <c r="C96" s="253"/>
      <c r="D96" s="91"/>
      <c r="E96" s="89"/>
      <c r="F96" s="89"/>
      <c r="G96" s="89"/>
      <c r="H96" s="92" t="s">
        <v>142</v>
      </c>
      <c r="I96" s="89"/>
      <c r="J96" s="89"/>
      <c r="K96" s="89"/>
      <c r="L96" s="89"/>
      <c r="M96" s="89"/>
      <c r="N96" s="89"/>
      <c r="O96" s="90"/>
      <c r="P96" s="254"/>
      <c r="Q96" s="255"/>
      <c r="R96" s="256"/>
      <c r="S96" s="254">
        <f>-I78</f>
        <v>224245.0047335038</v>
      </c>
      <c r="T96" s="255"/>
      <c r="U96" s="256"/>
    </row>
    <row r="97" spans="2:25" s="65" customFormat="1" ht="15.75" x14ac:dyDescent="0.25">
      <c r="B97" s="95"/>
      <c r="C97" s="96"/>
      <c r="D97" s="97" t="str">
        <f>B75</f>
        <v xml:space="preserve">N/AV N°300-1 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9"/>
      <c r="P97" s="257"/>
      <c r="Q97" s="258"/>
      <c r="R97" s="259"/>
      <c r="S97" s="257"/>
      <c r="T97" s="258"/>
      <c r="U97" s="259"/>
    </row>
    <row r="98" spans="2:25" s="83" customFormat="1" ht="15.75" x14ac:dyDescent="0.25">
      <c r="P98" s="284">
        <f>SUM(P94:R97)</f>
        <v>224245.0047335038</v>
      </c>
      <c r="Q98" s="284"/>
      <c r="R98" s="284"/>
      <c r="S98" s="284">
        <f>SUM(S94:U97)</f>
        <v>224245.0047335038</v>
      </c>
      <c r="T98" s="284"/>
      <c r="U98" s="284"/>
      <c r="W98" s="298"/>
      <c r="X98" s="299"/>
      <c r="Y98" s="299"/>
    </row>
    <row r="99" spans="2:25" ht="16.5" thickBot="1" x14ac:dyDescent="0.3">
      <c r="B99" s="2" t="s">
        <v>143</v>
      </c>
    </row>
    <row r="100" spans="2:25" s="2" customFormat="1" ht="15.75" customHeight="1" x14ac:dyDescent="0.25">
      <c r="B100" s="43" t="s">
        <v>2</v>
      </c>
      <c r="C100" s="44"/>
      <c r="D100" s="44"/>
      <c r="E100" s="44"/>
      <c r="F100" s="44"/>
      <c r="G100" s="300">
        <v>44302</v>
      </c>
      <c r="H100" s="300"/>
      <c r="I100" s="300"/>
      <c r="J100" s="45"/>
      <c r="K100" s="46"/>
    </row>
    <row r="101" spans="2:25" s="2" customFormat="1" ht="15.75" x14ac:dyDescent="0.25">
      <c r="B101" s="47" t="s">
        <v>144</v>
      </c>
      <c r="C101" s="48"/>
      <c r="D101" s="48"/>
      <c r="E101" s="48"/>
      <c r="F101" s="48"/>
      <c r="G101" s="48" t="s">
        <v>87</v>
      </c>
      <c r="H101" s="48"/>
      <c r="I101" s="48"/>
      <c r="J101" s="48"/>
      <c r="K101" s="49"/>
    </row>
    <row r="102" spans="2:25" s="2" customFormat="1" ht="16.5" thickBot="1" x14ac:dyDescent="0.3">
      <c r="B102" s="301"/>
      <c r="C102" s="302"/>
      <c r="D102" s="302"/>
      <c r="E102" s="50"/>
      <c r="F102" s="50"/>
      <c r="G102" s="51" t="s">
        <v>88</v>
      </c>
      <c r="H102" s="52"/>
      <c r="I102" s="50"/>
      <c r="J102" s="50"/>
      <c r="K102" s="53"/>
    </row>
    <row r="103" spans="2:25" s="2" customFormat="1" ht="15.75" x14ac:dyDescent="0.25">
      <c r="B103" s="54" t="s">
        <v>12</v>
      </c>
      <c r="C103" s="44"/>
      <c r="D103" s="44"/>
      <c r="E103" s="44"/>
      <c r="F103" s="44"/>
      <c r="G103" s="44"/>
      <c r="H103" s="44"/>
      <c r="I103" s="311">
        <v>0</v>
      </c>
      <c r="J103" s="312"/>
      <c r="K103" s="313"/>
    </row>
    <row r="104" spans="2:25" s="2" customFormat="1" ht="15.75" x14ac:dyDescent="0.25">
      <c r="B104" s="55" t="s">
        <v>89</v>
      </c>
      <c r="C104" s="48"/>
      <c r="D104" s="48"/>
      <c r="E104" s="48"/>
      <c r="F104" s="48"/>
      <c r="G104" s="48"/>
      <c r="H104" s="48"/>
      <c r="I104" s="289">
        <v>0</v>
      </c>
      <c r="J104" s="290"/>
      <c r="K104" s="291"/>
    </row>
    <row r="105" spans="2:25" s="2" customFormat="1" ht="15.75" x14ac:dyDescent="0.25">
      <c r="B105" s="55" t="s">
        <v>90</v>
      </c>
      <c r="C105" s="48"/>
      <c r="D105" s="48"/>
      <c r="E105" s="48"/>
      <c r="F105" s="48"/>
      <c r="G105" s="48"/>
      <c r="H105" s="48"/>
      <c r="I105" s="289">
        <v>750000</v>
      </c>
      <c r="J105" s="290"/>
      <c r="K105" s="291"/>
    </row>
    <row r="106" spans="2:25" s="1" customFormat="1" ht="15.75" x14ac:dyDescent="0.25">
      <c r="B106" s="57" t="s">
        <v>91</v>
      </c>
      <c r="C106" s="58"/>
      <c r="D106" s="58"/>
      <c r="E106" s="58"/>
      <c r="F106" s="58"/>
      <c r="G106" s="58"/>
      <c r="H106" s="58"/>
      <c r="I106" s="304">
        <f>SUM(I103:K105)</f>
        <v>750000</v>
      </c>
      <c r="J106" s="305"/>
      <c r="K106" s="306"/>
    </row>
    <row r="107" spans="2:25" s="2" customFormat="1" ht="15.75" x14ac:dyDescent="0.25">
      <c r="B107" s="55" t="s">
        <v>92</v>
      </c>
      <c r="C107" s="48"/>
      <c r="D107" s="48"/>
      <c r="E107" s="48"/>
      <c r="F107" s="48"/>
      <c r="G107" s="48"/>
      <c r="H107" s="48"/>
      <c r="I107" s="289">
        <f>-(750000*194444)/1750000</f>
        <v>-83333.142857142855</v>
      </c>
      <c r="J107" s="290"/>
      <c r="K107" s="291"/>
    </row>
    <row r="108" spans="2:25" s="2" customFormat="1" ht="15.75" x14ac:dyDescent="0.25">
      <c r="B108" s="55" t="s">
        <v>93</v>
      </c>
      <c r="C108" s="48"/>
      <c r="D108" s="48"/>
      <c r="E108" s="48"/>
      <c r="F108" s="48"/>
      <c r="G108" s="48"/>
      <c r="H108" s="48"/>
      <c r="I108" s="289">
        <f>SUM(I106:K107)</f>
        <v>666666.85714285716</v>
      </c>
      <c r="J108" s="290"/>
      <c r="K108" s="291"/>
    </row>
    <row r="109" spans="2:25" s="2" customFormat="1" ht="15.75" x14ac:dyDescent="0.25">
      <c r="B109" s="55" t="s">
        <v>18</v>
      </c>
      <c r="C109" s="48"/>
      <c r="D109" s="48"/>
      <c r="E109" s="48"/>
      <c r="F109" s="48"/>
      <c r="G109" s="48"/>
      <c r="H109" s="48"/>
      <c r="I109" s="289">
        <f>-(I108*1%)</f>
        <v>-6666.6685714285713</v>
      </c>
      <c r="J109" s="290"/>
      <c r="K109" s="291"/>
    </row>
    <row r="110" spans="2:25" s="2" customFormat="1" ht="15.75" x14ac:dyDescent="0.25">
      <c r="B110" s="55" t="s">
        <v>94</v>
      </c>
      <c r="C110" s="48"/>
      <c r="D110" s="48"/>
      <c r="E110" s="48"/>
      <c r="F110" s="48"/>
      <c r="G110" s="48"/>
      <c r="H110" s="48"/>
      <c r="I110" s="289">
        <f>SUM(I108:K109)</f>
        <v>660000.18857142853</v>
      </c>
      <c r="J110" s="290"/>
      <c r="K110" s="291"/>
    </row>
    <row r="111" spans="2:25" s="2" customFormat="1" ht="15.75" x14ac:dyDescent="0.25">
      <c r="B111" s="55" t="s">
        <v>20</v>
      </c>
      <c r="C111" s="48"/>
      <c r="D111" s="48"/>
      <c r="E111" s="48"/>
      <c r="F111" s="48"/>
      <c r="G111" s="48"/>
      <c r="H111" s="48"/>
      <c r="I111" s="289">
        <f>-(I110*2%)</f>
        <v>-13200.003771428572</v>
      </c>
      <c r="J111" s="290"/>
      <c r="K111" s="291"/>
    </row>
    <row r="112" spans="2:25" s="1" customFormat="1" ht="15.75" x14ac:dyDescent="0.25">
      <c r="B112" s="57" t="s">
        <v>95</v>
      </c>
      <c r="C112" s="58"/>
      <c r="D112" s="58"/>
      <c r="E112" s="58"/>
      <c r="F112" s="58"/>
      <c r="G112" s="59"/>
      <c r="H112" s="60"/>
      <c r="I112" s="304">
        <f>SUM(I110:K111)</f>
        <v>646800.18479999993</v>
      </c>
      <c r="J112" s="305"/>
      <c r="K112" s="306"/>
      <c r="Q112" s="1" t="s">
        <v>145</v>
      </c>
    </row>
    <row r="113" spans="2:21" s="2" customFormat="1" ht="15.75" x14ac:dyDescent="0.25">
      <c r="B113" s="55" t="s">
        <v>96</v>
      </c>
      <c r="C113" s="48"/>
      <c r="D113" s="48"/>
      <c r="E113" s="48"/>
      <c r="F113" s="48"/>
      <c r="G113" s="61"/>
      <c r="H113" s="62"/>
      <c r="I113" s="289">
        <v>0</v>
      </c>
      <c r="J113" s="290"/>
      <c r="K113" s="291"/>
    </row>
    <row r="114" spans="2:21" s="2" customFormat="1" ht="15.75" x14ac:dyDescent="0.25">
      <c r="B114" s="55" t="s">
        <v>25</v>
      </c>
      <c r="C114" s="48"/>
      <c r="D114" s="48"/>
      <c r="E114" s="48"/>
      <c r="F114" s="48"/>
      <c r="G114" s="48"/>
      <c r="H114" s="48"/>
      <c r="I114" s="289">
        <f>SUM(I112:K113)</f>
        <v>646800.18479999993</v>
      </c>
      <c r="J114" s="290"/>
      <c r="K114" s="291"/>
    </row>
    <row r="115" spans="2:21" s="1" customFormat="1" ht="15.75" x14ac:dyDescent="0.25">
      <c r="B115" s="57" t="s">
        <v>22</v>
      </c>
      <c r="C115" s="58"/>
      <c r="D115" s="58"/>
      <c r="E115" s="58"/>
      <c r="F115" s="58"/>
      <c r="G115" s="58"/>
      <c r="H115" s="58"/>
      <c r="I115" s="289">
        <f>-(I114*3%)</f>
        <v>-19404.005543999996</v>
      </c>
      <c r="J115" s="290"/>
      <c r="K115" s="291"/>
    </row>
    <row r="116" spans="2:21" s="1" customFormat="1" ht="15.75" x14ac:dyDescent="0.25">
      <c r="B116" s="57" t="s">
        <v>23</v>
      </c>
      <c r="C116" s="58"/>
      <c r="D116" s="58"/>
      <c r="E116" s="58"/>
      <c r="F116" s="58"/>
      <c r="G116" s="58"/>
      <c r="H116" s="58"/>
      <c r="I116" s="304">
        <f>SUM(I114:K115)</f>
        <v>627396.17925599997</v>
      </c>
      <c r="J116" s="305"/>
      <c r="K116" s="306"/>
    </row>
    <row r="117" spans="2:21" s="2" customFormat="1" ht="15.75" x14ac:dyDescent="0.25">
      <c r="B117" s="57" t="s">
        <v>97</v>
      </c>
      <c r="C117" s="58"/>
      <c r="D117" s="58"/>
      <c r="E117" s="58"/>
      <c r="F117" s="58"/>
      <c r="G117" s="58"/>
      <c r="H117" s="58"/>
      <c r="I117" s="289">
        <f>(627396*77778)/1463924</f>
        <v>33333.428571428572</v>
      </c>
      <c r="J117" s="290"/>
      <c r="K117" s="291"/>
    </row>
    <row r="118" spans="2:21" s="2" customFormat="1" ht="15.75" x14ac:dyDescent="0.25">
      <c r="B118" s="55" t="s">
        <v>98</v>
      </c>
      <c r="C118" s="48"/>
      <c r="D118" s="48"/>
      <c r="E118" s="48"/>
      <c r="F118" s="48"/>
      <c r="G118" s="48"/>
      <c r="H118" s="48"/>
      <c r="I118" s="289">
        <f>SUM(I116:K117)</f>
        <v>660729.6078274285</v>
      </c>
      <c r="J118" s="290"/>
      <c r="K118" s="291"/>
    </row>
    <row r="119" spans="2:21" s="2" customFormat="1" ht="15.75" x14ac:dyDescent="0.25">
      <c r="B119" s="55" t="s">
        <v>26</v>
      </c>
      <c r="C119" s="48"/>
      <c r="D119" s="48"/>
      <c r="E119" s="48"/>
      <c r="F119" s="48"/>
      <c r="G119" s="48"/>
      <c r="H119" s="48"/>
      <c r="I119" s="289">
        <f>I118*18%</f>
        <v>118931.32940893712</v>
      </c>
      <c r="J119" s="290"/>
      <c r="K119" s="291"/>
    </row>
    <row r="120" spans="2:21" s="1" customFormat="1" ht="15.75" x14ac:dyDescent="0.25">
      <c r="B120" s="57" t="s">
        <v>99</v>
      </c>
      <c r="C120" s="58"/>
      <c r="D120" s="58"/>
      <c r="E120" s="58"/>
      <c r="F120" s="58"/>
      <c r="G120" s="58"/>
      <c r="H120" s="58"/>
      <c r="I120" s="304">
        <f>SUM(I118:K119)</f>
        <v>779660.93723636563</v>
      </c>
      <c r="J120" s="305"/>
      <c r="K120" s="306"/>
    </row>
    <row r="121" spans="2:21" s="2" customFormat="1" ht="15.75" x14ac:dyDescent="0.25">
      <c r="B121" s="55" t="s">
        <v>146</v>
      </c>
      <c r="C121" s="48"/>
      <c r="D121" s="48"/>
      <c r="E121" s="48"/>
      <c r="F121" s="48"/>
      <c r="G121" s="48"/>
      <c r="H121" s="48"/>
      <c r="I121" s="289">
        <f>43*15323.55</f>
        <v>658912.65</v>
      </c>
      <c r="J121" s="290"/>
      <c r="K121" s="291"/>
    </row>
    <row r="122" spans="2:21" s="2" customFormat="1" ht="15.75" x14ac:dyDescent="0.25">
      <c r="B122" s="55" t="s">
        <v>101</v>
      </c>
      <c r="C122" s="48"/>
      <c r="D122" s="48"/>
      <c r="E122" s="48"/>
      <c r="F122" s="48"/>
      <c r="G122" s="48"/>
      <c r="H122" s="48"/>
      <c r="I122" s="289">
        <v>0</v>
      </c>
      <c r="J122" s="290"/>
      <c r="K122" s="291"/>
    </row>
    <row r="123" spans="2:21" s="1" customFormat="1" ht="16.5" thickBot="1" x14ac:dyDescent="0.3">
      <c r="B123" s="292" t="s">
        <v>147</v>
      </c>
      <c r="C123" s="293"/>
      <c r="D123" s="293"/>
      <c r="E123" s="293"/>
      <c r="F123" s="293"/>
      <c r="G123" s="293"/>
      <c r="H123" s="294"/>
      <c r="I123" s="295">
        <f>SUM(I120:K122)</f>
        <v>1438573.5872363658</v>
      </c>
      <c r="J123" s="296"/>
      <c r="K123" s="297"/>
    </row>
    <row r="124" spans="2:21" s="2" customFormat="1" ht="15.75" x14ac:dyDescent="0.25">
      <c r="B124" s="42" t="s">
        <v>148</v>
      </c>
    </row>
    <row r="125" spans="2:21" s="63" customFormat="1" ht="15.75" x14ac:dyDescent="0.25">
      <c r="B125" s="64" t="s">
        <v>104</v>
      </c>
    </row>
    <row r="126" spans="2:21" s="65" customFormat="1" ht="15" customHeight="1" x14ac:dyDescent="0.25">
      <c r="B126" s="280" t="s">
        <v>105</v>
      </c>
      <c r="C126" s="281"/>
      <c r="D126" s="267" t="s">
        <v>106</v>
      </c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8" t="s">
        <v>51</v>
      </c>
      <c r="Q126" s="269"/>
      <c r="R126" s="269"/>
      <c r="S126" s="269"/>
      <c r="T126" s="269"/>
      <c r="U126" s="270"/>
    </row>
    <row r="127" spans="2:21" s="65" customFormat="1" ht="15.75" x14ac:dyDescent="0.25">
      <c r="B127" s="282"/>
      <c r="C127" s="283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8" t="s">
        <v>107</v>
      </c>
      <c r="Q127" s="269"/>
      <c r="R127" s="270"/>
      <c r="S127" s="268" t="s">
        <v>108</v>
      </c>
      <c r="T127" s="269"/>
      <c r="U127" s="270"/>
    </row>
    <row r="128" spans="2:21" s="65" customFormat="1" ht="15.75" x14ac:dyDescent="0.25">
      <c r="B128" s="78"/>
      <c r="C128" s="79"/>
      <c r="D128" s="310">
        <f>G100</f>
        <v>44302</v>
      </c>
      <c r="E128" s="288"/>
      <c r="F128" s="288"/>
      <c r="G128" s="48"/>
      <c r="H128" s="48"/>
      <c r="I128" s="48"/>
      <c r="J128" s="48"/>
      <c r="K128" s="48"/>
      <c r="L128" s="48"/>
      <c r="M128" s="48"/>
      <c r="N128" s="48"/>
      <c r="O128" s="70"/>
      <c r="P128" s="254"/>
      <c r="Q128" s="255"/>
      <c r="R128" s="256"/>
      <c r="S128" s="254"/>
      <c r="T128" s="255"/>
      <c r="U128" s="256"/>
    </row>
    <row r="129" spans="2:21" s="65" customFormat="1" ht="15.75" x14ac:dyDescent="0.25">
      <c r="B129" s="271">
        <v>701100</v>
      </c>
      <c r="C129" s="272"/>
      <c r="D129" s="48" t="s">
        <v>119</v>
      </c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70"/>
      <c r="P129" s="254">
        <f>I112</f>
        <v>646800.18479999993</v>
      </c>
      <c r="Q129" s="255"/>
      <c r="R129" s="256"/>
      <c r="S129" s="254"/>
      <c r="T129" s="255"/>
      <c r="U129" s="256"/>
    </row>
    <row r="130" spans="2:21" s="65" customFormat="1" ht="15.75" x14ac:dyDescent="0.25">
      <c r="B130" s="271">
        <v>443100</v>
      </c>
      <c r="C130" s="272"/>
      <c r="D130" s="48" t="s">
        <v>120</v>
      </c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70"/>
      <c r="P130" s="254">
        <f>I119</f>
        <v>118931.32940893712</v>
      </c>
      <c r="Q130" s="255"/>
      <c r="R130" s="256"/>
      <c r="S130" s="254"/>
      <c r="T130" s="255"/>
      <c r="U130" s="256"/>
    </row>
    <row r="131" spans="2:21" s="65" customFormat="1" ht="15.75" x14ac:dyDescent="0.25">
      <c r="B131" s="271">
        <v>612100</v>
      </c>
      <c r="C131" s="272"/>
      <c r="D131" s="48" t="s">
        <v>97</v>
      </c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70"/>
      <c r="P131" s="254">
        <f>I117</f>
        <v>33333.428571428572</v>
      </c>
      <c r="Q131" s="255"/>
      <c r="R131" s="256"/>
      <c r="S131" s="254"/>
      <c r="T131" s="255"/>
      <c r="U131" s="256"/>
    </row>
    <row r="132" spans="2:21" s="65" customFormat="1" ht="15.75" x14ac:dyDescent="0.25">
      <c r="B132" s="271">
        <v>419400</v>
      </c>
      <c r="C132" s="272"/>
      <c r="D132" s="48" t="s">
        <v>121</v>
      </c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70"/>
      <c r="P132" s="254">
        <f>I121</f>
        <v>658912.65</v>
      </c>
      <c r="Q132" s="255"/>
      <c r="R132" s="256"/>
      <c r="S132" s="254"/>
      <c r="T132" s="255"/>
      <c r="U132" s="256"/>
    </row>
    <row r="133" spans="2:21" s="65" customFormat="1" ht="15.75" x14ac:dyDescent="0.25">
      <c r="B133" s="271">
        <v>411100</v>
      </c>
      <c r="C133" s="272"/>
      <c r="D133" s="100"/>
      <c r="E133" s="48"/>
      <c r="F133" s="48"/>
      <c r="G133" s="48"/>
      <c r="H133" s="48"/>
      <c r="I133" s="48" t="s">
        <v>116</v>
      </c>
      <c r="J133" s="48"/>
      <c r="K133" s="48"/>
      <c r="L133" s="48"/>
      <c r="M133" s="48"/>
      <c r="N133" s="48"/>
      <c r="O133" s="70"/>
      <c r="P133" s="254"/>
      <c r="Q133" s="255"/>
      <c r="R133" s="256"/>
      <c r="S133" s="254">
        <f>I123</f>
        <v>1438573.5872363658</v>
      </c>
      <c r="T133" s="255"/>
      <c r="U133" s="256"/>
    </row>
    <row r="134" spans="2:21" s="65" customFormat="1" ht="15.75" x14ac:dyDescent="0.25">
      <c r="B134" s="271">
        <v>419100</v>
      </c>
      <c r="C134" s="272"/>
      <c r="D134" s="100"/>
      <c r="E134" s="48"/>
      <c r="F134" s="48"/>
      <c r="G134" s="48"/>
      <c r="H134" s="48"/>
      <c r="I134" s="48" t="s">
        <v>117</v>
      </c>
      <c r="J134" s="61"/>
      <c r="K134" s="48"/>
      <c r="L134" s="48"/>
      <c r="M134" s="48"/>
      <c r="N134" s="48"/>
      <c r="O134" s="70"/>
      <c r="P134" s="254"/>
      <c r="Q134" s="255"/>
      <c r="R134" s="256"/>
      <c r="S134" s="254">
        <f>-L122</f>
        <v>0</v>
      </c>
      <c r="T134" s="255"/>
      <c r="U134" s="256"/>
    </row>
    <row r="135" spans="2:21" s="65" customFormat="1" ht="13.5" customHeight="1" x14ac:dyDescent="0.25">
      <c r="B135" s="271">
        <v>673100</v>
      </c>
      <c r="C135" s="272"/>
      <c r="D135" s="100"/>
      <c r="E135" s="48"/>
      <c r="F135" s="48"/>
      <c r="G135" s="48"/>
      <c r="H135" s="48"/>
      <c r="I135" s="48" t="s">
        <v>118</v>
      </c>
      <c r="J135" s="61"/>
      <c r="K135" s="48"/>
      <c r="L135" s="48"/>
      <c r="M135" s="48"/>
      <c r="N135" s="48"/>
      <c r="O135" s="70"/>
      <c r="P135" s="254"/>
      <c r="Q135" s="255"/>
      <c r="R135" s="256"/>
      <c r="S135" s="254">
        <f>-I115</f>
        <v>19404.005543999996</v>
      </c>
      <c r="T135" s="255"/>
      <c r="U135" s="256"/>
    </row>
    <row r="136" spans="2:21" s="65" customFormat="1" ht="15.75" x14ac:dyDescent="0.25">
      <c r="B136" s="81"/>
      <c r="C136" s="75"/>
      <c r="D136" s="82" t="str">
        <f>B101</f>
        <v xml:space="preserve">Fact. AV N°300-2 </v>
      </c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6"/>
      <c r="P136" s="257"/>
      <c r="Q136" s="258"/>
      <c r="R136" s="259"/>
      <c r="S136" s="257"/>
      <c r="T136" s="258"/>
      <c r="U136" s="259"/>
    </row>
    <row r="137" spans="2:21" s="83" customFormat="1" ht="15.75" x14ac:dyDescent="0.25">
      <c r="P137" s="265">
        <f>SUM(P128:R136)</f>
        <v>1457977.5927803656</v>
      </c>
      <c r="Q137" s="265"/>
      <c r="R137" s="265"/>
      <c r="S137" s="265">
        <f>SUM(S128:U135)</f>
        <v>1457977.5927803658</v>
      </c>
      <c r="T137" s="265"/>
      <c r="U137" s="265"/>
    </row>
    <row r="138" spans="2:21" s="63" customFormat="1" ht="15.75" x14ac:dyDescent="0.25">
      <c r="B138" s="64" t="s">
        <v>122</v>
      </c>
    </row>
    <row r="139" spans="2:21" s="65" customFormat="1" ht="15.75" x14ac:dyDescent="0.25">
      <c r="B139" s="266" t="s">
        <v>105</v>
      </c>
      <c r="C139" s="266"/>
      <c r="D139" s="267" t="s">
        <v>106</v>
      </c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8" t="s">
        <v>51</v>
      </c>
      <c r="Q139" s="269"/>
      <c r="R139" s="269"/>
      <c r="S139" s="269"/>
      <c r="T139" s="269"/>
      <c r="U139" s="270"/>
    </row>
    <row r="140" spans="2:21" s="65" customFormat="1" ht="15.75" x14ac:dyDescent="0.25">
      <c r="B140" s="266"/>
      <c r="C140" s="266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8" t="s">
        <v>107</v>
      </c>
      <c r="Q140" s="269"/>
      <c r="R140" s="270"/>
      <c r="S140" s="268" t="s">
        <v>108</v>
      </c>
      <c r="T140" s="269"/>
      <c r="U140" s="270"/>
    </row>
    <row r="141" spans="2:21" s="65" customFormat="1" ht="15.75" x14ac:dyDescent="0.25">
      <c r="B141" s="276"/>
      <c r="C141" s="277"/>
      <c r="D141" s="278">
        <f>G100</f>
        <v>44302</v>
      </c>
      <c r="E141" s="279"/>
      <c r="F141" s="279"/>
      <c r="G141" s="66"/>
      <c r="H141" s="66"/>
      <c r="I141" s="66"/>
      <c r="J141" s="66"/>
      <c r="K141" s="66"/>
      <c r="L141" s="66"/>
      <c r="M141" s="66"/>
      <c r="N141" s="66"/>
      <c r="O141" s="67"/>
      <c r="P141" s="262"/>
      <c r="Q141" s="263"/>
      <c r="R141" s="264"/>
      <c r="S141" s="262"/>
      <c r="T141" s="263"/>
      <c r="U141" s="264"/>
    </row>
    <row r="142" spans="2:21" s="65" customFormat="1" ht="15.75" x14ac:dyDescent="0.25">
      <c r="B142" s="271">
        <v>401100</v>
      </c>
      <c r="C142" s="272"/>
      <c r="D142" s="80" t="s">
        <v>141</v>
      </c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70"/>
      <c r="P142" s="254">
        <f>I123</f>
        <v>1438573.5872363658</v>
      </c>
      <c r="Q142" s="255"/>
      <c r="R142" s="256"/>
      <c r="S142" s="254"/>
      <c r="T142" s="255"/>
      <c r="U142" s="256"/>
    </row>
    <row r="143" spans="2:21" s="65" customFormat="1" ht="15.75" x14ac:dyDescent="0.25">
      <c r="B143" s="271">
        <v>773100</v>
      </c>
      <c r="C143" s="272"/>
      <c r="D143" s="80" t="s">
        <v>89</v>
      </c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70"/>
      <c r="P143" s="254">
        <f>-I115</f>
        <v>19404.005543999996</v>
      </c>
      <c r="Q143" s="255"/>
      <c r="R143" s="256"/>
      <c r="S143" s="254"/>
      <c r="T143" s="255"/>
      <c r="U143" s="256"/>
    </row>
    <row r="144" spans="2:21" s="65" customFormat="1" ht="15.75" x14ac:dyDescent="0.25">
      <c r="B144" s="271">
        <v>604700</v>
      </c>
      <c r="C144" s="272"/>
      <c r="D144" s="80"/>
      <c r="E144" s="48"/>
      <c r="F144" s="48"/>
      <c r="G144" s="48"/>
      <c r="H144" s="48" t="s">
        <v>14</v>
      </c>
      <c r="I144" s="48"/>
      <c r="J144" s="48"/>
      <c r="K144" s="48"/>
      <c r="L144" s="48"/>
      <c r="M144" s="48"/>
      <c r="N144" s="48"/>
      <c r="O144" s="70"/>
      <c r="P144" s="254"/>
      <c r="Q144" s="255"/>
      <c r="R144" s="256"/>
      <c r="S144" s="254">
        <f>I112</f>
        <v>646800.18479999993</v>
      </c>
      <c r="T144" s="255"/>
      <c r="U144" s="256"/>
    </row>
    <row r="145" spans="2:25" s="65" customFormat="1" ht="15.75" x14ac:dyDescent="0.25">
      <c r="B145" s="271">
        <v>445200</v>
      </c>
      <c r="C145" s="272"/>
      <c r="D145" s="80"/>
      <c r="E145" s="48"/>
      <c r="F145" s="48"/>
      <c r="G145" s="48"/>
      <c r="H145" s="48" t="s">
        <v>149</v>
      </c>
      <c r="I145" s="48"/>
      <c r="J145" s="48"/>
      <c r="K145" s="48"/>
      <c r="L145" s="48"/>
      <c r="M145" s="48"/>
      <c r="N145" s="48"/>
      <c r="O145" s="70"/>
      <c r="P145" s="254"/>
      <c r="Q145" s="255"/>
      <c r="R145" s="256"/>
      <c r="S145" s="254">
        <f>I119</f>
        <v>118931.32940893712</v>
      </c>
      <c r="T145" s="255"/>
      <c r="U145" s="256"/>
    </row>
    <row r="146" spans="2:25" s="65" customFormat="1" ht="15.75" x14ac:dyDescent="0.25">
      <c r="B146" s="271">
        <v>604570</v>
      </c>
      <c r="C146" s="272"/>
      <c r="D146" s="80"/>
      <c r="E146" s="48"/>
      <c r="F146" s="48"/>
      <c r="G146" s="48"/>
      <c r="H146" s="48" t="s">
        <v>150</v>
      </c>
      <c r="I146" s="48"/>
      <c r="J146" s="48"/>
      <c r="K146" s="48"/>
      <c r="L146" s="48"/>
      <c r="M146" s="48"/>
      <c r="N146" s="48"/>
      <c r="O146" s="70"/>
      <c r="P146" s="254"/>
      <c r="Q146" s="255"/>
      <c r="R146" s="256"/>
      <c r="S146" s="254">
        <f>P131</f>
        <v>33333.428571428572</v>
      </c>
      <c r="T146" s="255"/>
      <c r="U146" s="256"/>
    </row>
    <row r="147" spans="2:25" s="65" customFormat="1" ht="15" customHeight="1" x14ac:dyDescent="0.25">
      <c r="B147" s="271">
        <v>409400</v>
      </c>
      <c r="C147" s="272"/>
      <c r="D147" s="80"/>
      <c r="E147" s="48"/>
      <c r="F147" s="48"/>
      <c r="G147" s="48"/>
      <c r="H147" s="48" t="s">
        <v>151</v>
      </c>
      <c r="I147" s="48"/>
      <c r="J147" s="48"/>
      <c r="K147" s="48"/>
      <c r="L147" s="48"/>
      <c r="M147" s="48"/>
      <c r="N147" s="48"/>
      <c r="O147" s="70"/>
      <c r="P147" s="254"/>
      <c r="Q147" s="255"/>
      <c r="R147" s="256"/>
      <c r="S147" s="254">
        <f>I121</f>
        <v>658912.65</v>
      </c>
      <c r="T147" s="255"/>
      <c r="U147" s="256"/>
    </row>
    <row r="148" spans="2:25" s="65" customFormat="1" ht="12.75" customHeight="1" x14ac:dyDescent="0.25">
      <c r="B148" s="81"/>
      <c r="C148" s="76"/>
      <c r="D148" s="82" t="str">
        <f>B101</f>
        <v xml:space="preserve">Fact. AV N°300-2 </v>
      </c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6"/>
      <c r="P148" s="257"/>
      <c r="Q148" s="258"/>
      <c r="R148" s="259"/>
      <c r="S148" s="257"/>
      <c r="T148" s="258"/>
      <c r="U148" s="259"/>
    </row>
    <row r="149" spans="2:25" s="83" customFormat="1" ht="15.75" x14ac:dyDescent="0.25">
      <c r="P149" s="265">
        <f>SUM(P141:R147)</f>
        <v>1457977.5927803658</v>
      </c>
      <c r="Q149" s="265"/>
      <c r="R149" s="265"/>
      <c r="S149" s="265">
        <f>SUM(S141:U147)</f>
        <v>1457977.5927803656</v>
      </c>
      <c r="T149" s="265"/>
      <c r="U149" s="265"/>
      <c r="W149" s="298"/>
      <c r="X149" s="299"/>
      <c r="Y149" s="299"/>
    </row>
    <row r="150" spans="2:25" ht="16.5" thickBot="1" x14ac:dyDescent="0.3">
      <c r="B150" s="2" t="s">
        <v>135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5.75" x14ac:dyDescent="0.25">
      <c r="B151" s="43" t="s">
        <v>2</v>
      </c>
      <c r="C151" s="44"/>
      <c r="D151" s="44"/>
      <c r="E151" s="44"/>
      <c r="F151" s="44"/>
      <c r="G151" s="300">
        <v>44308</v>
      </c>
      <c r="H151" s="300"/>
      <c r="I151" s="300"/>
      <c r="J151" s="45"/>
      <c r="K151" s="46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5.75" x14ac:dyDescent="0.25">
      <c r="B152" s="55" t="s">
        <v>152</v>
      </c>
      <c r="C152" s="48"/>
      <c r="D152" s="48"/>
      <c r="E152" s="48"/>
      <c r="F152" s="48"/>
      <c r="G152" s="48" t="s">
        <v>137</v>
      </c>
      <c r="H152" s="48"/>
      <c r="I152" s="48"/>
      <c r="J152" s="48"/>
      <c r="K152" s="49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.5" thickBot="1" x14ac:dyDescent="0.3">
      <c r="B153" s="301"/>
      <c r="C153" s="302"/>
      <c r="D153" s="302"/>
      <c r="E153" s="50"/>
      <c r="F153" s="50"/>
      <c r="G153" s="51" t="s">
        <v>88</v>
      </c>
      <c r="H153" s="52"/>
      <c r="I153" s="50"/>
      <c r="J153" s="50"/>
      <c r="K153" s="5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5.75" x14ac:dyDescent="0.25">
      <c r="B154" s="101" t="s">
        <v>153</v>
      </c>
      <c r="C154" s="102"/>
      <c r="D154" s="102"/>
      <c r="E154" s="102"/>
      <c r="F154" s="102"/>
      <c r="G154" s="102"/>
      <c r="H154" s="103"/>
      <c r="I154" s="289"/>
      <c r="J154" s="290"/>
      <c r="K154" s="29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5.75" x14ac:dyDescent="0.25">
      <c r="B155" s="55" t="s">
        <v>154</v>
      </c>
      <c r="C155" s="48"/>
      <c r="D155" s="48"/>
      <c r="E155" s="48"/>
      <c r="F155" s="48"/>
      <c r="G155" s="48"/>
      <c r="H155" s="48"/>
      <c r="I155" s="289">
        <v>2100000</v>
      </c>
      <c r="J155" s="290"/>
      <c r="K155" s="29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5.75" x14ac:dyDescent="0.25">
      <c r="B156" s="55" t="s">
        <v>155</v>
      </c>
      <c r="C156" s="48"/>
      <c r="D156" s="48"/>
      <c r="E156" s="48"/>
      <c r="F156" s="48"/>
      <c r="G156" s="48"/>
      <c r="H156" s="48"/>
      <c r="I156" s="289">
        <f>15323.55*57</f>
        <v>873442.35</v>
      </c>
      <c r="J156" s="290"/>
      <c r="K156" s="29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5.75" x14ac:dyDescent="0.25">
      <c r="B157" s="57" t="s">
        <v>156</v>
      </c>
      <c r="C157" s="58"/>
      <c r="D157" s="58"/>
      <c r="E157" s="58"/>
      <c r="F157" s="58"/>
      <c r="G157" s="58"/>
      <c r="H157" s="58"/>
      <c r="I157" s="304">
        <f>SUM(I155:K156)</f>
        <v>2973442.35</v>
      </c>
      <c r="J157" s="305"/>
      <c r="K157" s="30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5.75" x14ac:dyDescent="0.25">
      <c r="B158" s="55" t="s">
        <v>157</v>
      </c>
      <c r="C158" s="48"/>
      <c r="D158" s="48"/>
      <c r="E158" s="48"/>
      <c r="F158" s="48"/>
      <c r="G158" s="48"/>
      <c r="H158" s="48"/>
      <c r="I158" s="104"/>
      <c r="J158" s="105"/>
      <c r="K158" s="106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5.75" x14ac:dyDescent="0.25">
      <c r="B159" s="55" t="s">
        <v>158</v>
      </c>
      <c r="C159" s="48"/>
      <c r="D159" s="48"/>
      <c r="E159" s="48"/>
      <c r="F159" s="48"/>
      <c r="G159" s="48"/>
      <c r="H159" s="48"/>
      <c r="I159" s="104"/>
      <c r="J159" s="105"/>
      <c r="K159" s="106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5.75" x14ac:dyDescent="0.25">
      <c r="B160" s="55" t="s">
        <v>159</v>
      </c>
      <c r="C160" s="48"/>
      <c r="D160" s="48"/>
      <c r="E160" s="48"/>
      <c r="F160" s="48"/>
      <c r="G160" s="48"/>
      <c r="H160" s="48"/>
      <c r="I160" s="104"/>
      <c r="J160" s="105"/>
      <c r="K160" s="106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5.75" x14ac:dyDescent="0.25">
      <c r="B161" s="55" t="s">
        <v>160</v>
      </c>
      <c r="C161" s="48"/>
      <c r="D161" s="48"/>
      <c r="E161" s="48"/>
      <c r="F161" s="48"/>
      <c r="G161" s="48"/>
      <c r="H161" s="48"/>
      <c r="I161" s="289">
        <f>10*-17000</f>
        <v>-170000</v>
      </c>
      <c r="J161" s="290"/>
      <c r="K161" s="29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5.75" x14ac:dyDescent="0.25">
      <c r="B162" s="55" t="s">
        <v>161</v>
      </c>
      <c r="C162" s="48"/>
      <c r="D162" s="48"/>
      <c r="E162" s="48"/>
      <c r="F162" s="48"/>
      <c r="G162" s="48"/>
      <c r="H162" s="48"/>
      <c r="I162" s="289">
        <f>57*10*-155.754</f>
        <v>-88779.78</v>
      </c>
      <c r="J162" s="290"/>
      <c r="K162" s="29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5.75" x14ac:dyDescent="0.25">
      <c r="B163" s="55" t="s">
        <v>162</v>
      </c>
      <c r="C163" s="48"/>
      <c r="D163" s="48"/>
      <c r="E163" s="48"/>
      <c r="F163" s="48"/>
      <c r="G163" s="48"/>
      <c r="H163" s="48"/>
      <c r="I163" s="289">
        <f>-5*15323.55</f>
        <v>-76617.75</v>
      </c>
      <c r="J163" s="290"/>
      <c r="K163" s="29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5.75" x14ac:dyDescent="0.25">
      <c r="B164" s="55" t="s">
        <v>163</v>
      </c>
      <c r="C164" s="48"/>
      <c r="D164" s="48"/>
      <c r="E164" s="48"/>
      <c r="F164" s="48"/>
      <c r="G164" s="48"/>
      <c r="H164" s="48"/>
      <c r="I164" s="289">
        <f>-5*15323.55</f>
        <v>-76617.75</v>
      </c>
      <c r="J164" s="290"/>
      <c r="K164" s="29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s="107" customFormat="1" ht="16.5" thickBot="1" x14ac:dyDescent="0.3">
      <c r="B165" s="108" t="s">
        <v>164</v>
      </c>
      <c r="C165" s="52"/>
      <c r="D165" s="52"/>
      <c r="E165" s="52"/>
      <c r="F165" s="52"/>
      <c r="G165" s="52"/>
      <c r="H165" s="52"/>
      <c r="I165" s="304">
        <f>SUM(I161:K164)</f>
        <v>-412015.28</v>
      </c>
      <c r="J165" s="305"/>
      <c r="K165" s="30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16.5" thickBot="1" x14ac:dyDescent="0.3">
      <c r="B166" s="292" t="s">
        <v>165</v>
      </c>
      <c r="C166" s="293"/>
      <c r="D166" s="293"/>
      <c r="E166" s="293"/>
      <c r="F166" s="293"/>
      <c r="G166" s="293"/>
      <c r="H166" s="294"/>
      <c r="I166" s="307">
        <f>+I157+I165</f>
        <v>2561427.0700000003</v>
      </c>
      <c r="J166" s="308"/>
      <c r="K166" s="309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5.75" x14ac:dyDescent="0.25">
      <c r="B167" s="42" t="s">
        <v>166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s="109" customFormat="1" ht="15.75" x14ac:dyDescent="0.25">
      <c r="B168" s="64" t="s">
        <v>104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spans="2:25" ht="15.75" x14ac:dyDescent="0.25">
      <c r="B169" s="280" t="s">
        <v>105</v>
      </c>
      <c r="C169" s="281"/>
      <c r="D169" s="267" t="s">
        <v>106</v>
      </c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8" t="s">
        <v>51</v>
      </c>
      <c r="Q169" s="269"/>
      <c r="R169" s="269"/>
      <c r="S169" s="269"/>
      <c r="T169" s="269"/>
      <c r="U169" s="270"/>
      <c r="V169" s="65"/>
      <c r="W169" s="65"/>
      <c r="X169" s="65"/>
      <c r="Y169" s="65"/>
    </row>
    <row r="170" spans="2:25" ht="15.75" x14ac:dyDescent="0.25">
      <c r="B170" s="282"/>
      <c r="C170" s="283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8" t="s">
        <v>107</v>
      </c>
      <c r="Q170" s="269"/>
      <c r="R170" s="270"/>
      <c r="S170" s="268" t="s">
        <v>108</v>
      </c>
      <c r="T170" s="269"/>
      <c r="U170" s="270"/>
      <c r="V170" s="65"/>
      <c r="W170" s="65"/>
      <c r="X170" s="65"/>
      <c r="Y170" s="65"/>
    </row>
    <row r="171" spans="2:25" ht="15.75" x14ac:dyDescent="0.25">
      <c r="B171" s="276"/>
      <c r="C171" s="277"/>
      <c r="D171" s="278">
        <f>G151</f>
        <v>44308</v>
      </c>
      <c r="E171" s="279"/>
      <c r="F171" s="279"/>
      <c r="G171" s="66"/>
      <c r="H171" s="66"/>
      <c r="I171" s="66"/>
      <c r="J171" s="66"/>
      <c r="K171" s="66"/>
      <c r="L171" s="66"/>
      <c r="M171" s="66"/>
      <c r="N171" s="66"/>
      <c r="O171" s="67"/>
      <c r="P171" s="262"/>
      <c r="Q171" s="263"/>
      <c r="R171" s="264"/>
      <c r="S171" s="262"/>
      <c r="T171" s="263"/>
      <c r="U171" s="264"/>
      <c r="V171" s="65"/>
      <c r="W171" s="65"/>
      <c r="X171" s="65"/>
      <c r="Y171" s="65"/>
    </row>
    <row r="172" spans="2:25" ht="15.75" x14ac:dyDescent="0.25">
      <c r="B172" s="271">
        <v>419400</v>
      </c>
      <c r="C172" s="272"/>
      <c r="D172" s="68" t="s">
        <v>167</v>
      </c>
      <c r="E172" s="69"/>
      <c r="F172" s="69"/>
      <c r="G172" s="48"/>
      <c r="H172" s="48"/>
      <c r="I172" s="48"/>
      <c r="J172" s="48"/>
      <c r="K172" s="48"/>
      <c r="L172" s="48"/>
      <c r="M172" s="48"/>
      <c r="N172" s="48"/>
      <c r="O172" s="70"/>
      <c r="P172" s="254">
        <f>I157</f>
        <v>2973442.35</v>
      </c>
      <c r="Q172" s="255"/>
      <c r="R172" s="256"/>
      <c r="S172" s="254"/>
      <c r="T172" s="255"/>
      <c r="U172" s="256"/>
      <c r="V172" s="65"/>
      <c r="W172" s="65"/>
      <c r="X172" s="65"/>
      <c r="Y172" s="65"/>
    </row>
    <row r="173" spans="2:25" ht="15.75" x14ac:dyDescent="0.25">
      <c r="B173" s="271">
        <v>411100</v>
      </c>
      <c r="C173" s="272"/>
      <c r="D173" s="68"/>
      <c r="E173" s="69"/>
      <c r="F173" s="69"/>
      <c r="G173" s="48"/>
      <c r="H173" s="48" t="s">
        <v>116</v>
      </c>
      <c r="I173" s="48"/>
      <c r="J173" s="48"/>
      <c r="K173" s="48"/>
      <c r="L173" s="48"/>
      <c r="M173" s="48"/>
      <c r="N173" s="48"/>
      <c r="O173" s="70"/>
      <c r="P173" s="254"/>
      <c r="Q173" s="255"/>
      <c r="R173" s="256"/>
      <c r="S173" s="254">
        <f>I166</f>
        <v>2561427.0700000003</v>
      </c>
      <c r="T173" s="255"/>
      <c r="U173" s="256"/>
      <c r="V173" s="65"/>
      <c r="W173" s="65"/>
      <c r="X173" s="65"/>
      <c r="Y173" s="65"/>
    </row>
    <row r="174" spans="2:25" ht="15.75" x14ac:dyDescent="0.25">
      <c r="B174" s="271">
        <v>707400</v>
      </c>
      <c r="C174" s="272"/>
      <c r="D174" s="68"/>
      <c r="E174" s="69"/>
      <c r="F174" s="69"/>
      <c r="G174" s="48"/>
      <c r="H174" s="48" t="s">
        <v>168</v>
      </c>
      <c r="I174" s="48"/>
      <c r="J174" s="48"/>
      <c r="K174" s="48"/>
      <c r="L174" s="48"/>
      <c r="M174" s="48"/>
      <c r="N174" s="48"/>
      <c r="O174" s="70"/>
      <c r="P174" s="110"/>
      <c r="Q174" s="111"/>
      <c r="R174" s="112"/>
      <c r="S174" s="254">
        <f>-I165/1.18</f>
        <v>349165.49152542377</v>
      </c>
      <c r="T174" s="255"/>
      <c r="U174" s="256"/>
      <c r="V174" s="65"/>
      <c r="W174" s="65"/>
      <c r="X174" s="65"/>
      <c r="Y174" s="65"/>
    </row>
    <row r="175" spans="2:25" ht="15.75" x14ac:dyDescent="0.25">
      <c r="B175" s="271">
        <v>443100</v>
      </c>
      <c r="C175" s="272"/>
      <c r="D175" s="68"/>
      <c r="E175" s="69"/>
      <c r="F175" s="69"/>
      <c r="G175" s="48"/>
      <c r="H175" s="48" t="s">
        <v>169</v>
      </c>
      <c r="I175" s="48"/>
      <c r="J175" s="48"/>
      <c r="K175" s="48"/>
      <c r="L175" s="48"/>
      <c r="M175" s="48"/>
      <c r="N175" s="48"/>
      <c r="O175" s="70"/>
      <c r="P175" s="110"/>
      <c r="Q175" s="111"/>
      <c r="R175" s="112"/>
      <c r="S175" s="254">
        <f>S174*18%</f>
        <v>62849.788474576279</v>
      </c>
      <c r="T175" s="255"/>
      <c r="U175" s="256"/>
      <c r="V175" s="65"/>
      <c r="W175" s="65"/>
      <c r="X175" s="65"/>
      <c r="Y175" s="65"/>
    </row>
    <row r="176" spans="2:25" ht="15.75" x14ac:dyDescent="0.25">
      <c r="B176" s="71"/>
      <c r="C176" s="72"/>
      <c r="D176" s="73" t="str">
        <f>B152</f>
        <v xml:space="preserve">N/AV N°300-3 </v>
      </c>
      <c r="E176" s="74"/>
      <c r="F176" s="74"/>
      <c r="G176" s="75"/>
      <c r="H176" s="75"/>
      <c r="I176" s="75"/>
      <c r="J176" s="75"/>
      <c r="K176" s="75"/>
      <c r="L176" s="75"/>
      <c r="M176" s="75"/>
      <c r="N176" s="75"/>
      <c r="O176" s="76"/>
      <c r="P176" s="257"/>
      <c r="Q176" s="258"/>
      <c r="R176" s="259"/>
      <c r="S176" s="257"/>
      <c r="T176" s="258"/>
      <c r="U176" s="259"/>
      <c r="V176" s="65"/>
      <c r="W176" s="65"/>
      <c r="X176" s="65"/>
      <c r="Y176" s="65"/>
    </row>
    <row r="177" spans="2:25" s="109" customFormat="1" ht="15.75" x14ac:dyDescent="0.25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265">
        <f>SUM(P171:R176)</f>
        <v>2973442.35</v>
      </c>
      <c r="Q177" s="265"/>
      <c r="R177" s="265"/>
      <c r="S177" s="265">
        <f>SUM(S171:U176)</f>
        <v>2973442.35</v>
      </c>
      <c r="T177" s="265"/>
      <c r="U177" s="265"/>
      <c r="V177" s="83"/>
      <c r="W177" s="83"/>
      <c r="X177" s="83"/>
      <c r="Y177" s="83"/>
    </row>
    <row r="178" spans="2:25" s="109" customFormat="1" ht="15.75" x14ac:dyDescent="0.25">
      <c r="B178" s="64" t="s">
        <v>122</v>
      </c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spans="2:25" ht="15.75" x14ac:dyDescent="0.25">
      <c r="B179" s="266" t="s">
        <v>105</v>
      </c>
      <c r="C179" s="266"/>
      <c r="D179" s="267" t="s">
        <v>106</v>
      </c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8" t="s">
        <v>51</v>
      </c>
      <c r="Q179" s="269"/>
      <c r="R179" s="269"/>
      <c r="S179" s="269"/>
      <c r="T179" s="269"/>
      <c r="U179" s="270"/>
      <c r="V179" s="65"/>
      <c r="W179" s="65"/>
      <c r="X179" s="65"/>
      <c r="Y179" s="65"/>
    </row>
    <row r="180" spans="2:25" ht="15.75" x14ac:dyDescent="0.25">
      <c r="B180" s="266"/>
      <c r="C180" s="266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8" t="s">
        <v>107</v>
      </c>
      <c r="Q180" s="269"/>
      <c r="R180" s="270"/>
      <c r="S180" s="268" t="s">
        <v>108</v>
      </c>
      <c r="T180" s="269"/>
      <c r="U180" s="270"/>
      <c r="V180" s="65"/>
      <c r="W180" s="65"/>
      <c r="X180" s="65"/>
      <c r="Y180" s="65"/>
    </row>
    <row r="181" spans="2:25" ht="15.75" x14ac:dyDescent="0.25">
      <c r="B181" s="84"/>
      <c r="C181" s="85"/>
      <c r="D181" s="260">
        <f>+D171</f>
        <v>44308</v>
      </c>
      <c r="E181" s="261"/>
      <c r="F181" s="261"/>
      <c r="G181" s="86"/>
      <c r="H181" s="86"/>
      <c r="I181" s="86"/>
      <c r="J181" s="86"/>
      <c r="K181" s="86"/>
      <c r="L181" s="86"/>
      <c r="M181" s="86"/>
      <c r="N181" s="86"/>
      <c r="O181" s="87"/>
      <c r="P181" s="262"/>
      <c r="Q181" s="263"/>
      <c r="R181" s="264"/>
      <c r="S181" s="262"/>
      <c r="T181" s="263"/>
      <c r="U181" s="264"/>
      <c r="V181" s="65"/>
      <c r="W181" s="65"/>
      <c r="X181" s="65"/>
      <c r="Y181" s="65"/>
    </row>
    <row r="182" spans="2:25" ht="15.75" x14ac:dyDescent="0.25">
      <c r="B182" s="252">
        <v>401100</v>
      </c>
      <c r="C182" s="253"/>
      <c r="D182" s="88" t="s">
        <v>141</v>
      </c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90"/>
      <c r="P182" s="254">
        <f>I166</f>
        <v>2561427.0700000003</v>
      </c>
      <c r="Q182" s="255"/>
      <c r="R182" s="256"/>
      <c r="S182" s="254"/>
      <c r="T182" s="255"/>
      <c r="U182" s="256"/>
      <c r="V182" s="65"/>
      <c r="W182" s="65"/>
      <c r="X182" s="65"/>
      <c r="Y182" s="65"/>
    </row>
    <row r="183" spans="2:25" ht="15.75" x14ac:dyDescent="0.25">
      <c r="B183" s="252">
        <v>608200</v>
      </c>
      <c r="C183" s="253"/>
      <c r="D183" s="88" t="s">
        <v>170</v>
      </c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90"/>
      <c r="P183" s="254">
        <f>-(I163/1.18)</f>
        <v>64930.296610169498</v>
      </c>
      <c r="Q183" s="255"/>
      <c r="R183" s="256"/>
      <c r="S183" s="110"/>
      <c r="T183" s="111"/>
      <c r="U183" s="112"/>
      <c r="V183" s="65"/>
      <c r="W183" s="65"/>
      <c r="X183" s="65"/>
      <c r="Y183" s="65"/>
    </row>
    <row r="184" spans="2:25" ht="15.75" x14ac:dyDescent="0.25">
      <c r="B184" s="252">
        <v>622400</v>
      </c>
      <c r="C184" s="253"/>
      <c r="D184" s="88" t="s">
        <v>171</v>
      </c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90"/>
      <c r="P184" s="254">
        <f>-(I161+I162+I164)/1.18</f>
        <v>284235.19491525425</v>
      </c>
      <c r="Q184" s="255"/>
      <c r="R184" s="256"/>
      <c r="S184" s="110"/>
      <c r="T184" s="111"/>
      <c r="U184" s="112"/>
      <c r="V184" s="65"/>
      <c r="W184" s="65"/>
      <c r="X184" s="65"/>
      <c r="Y184" s="65"/>
    </row>
    <row r="185" spans="2:25" ht="15.75" x14ac:dyDescent="0.25">
      <c r="B185" s="252">
        <v>445200</v>
      </c>
      <c r="C185" s="253"/>
      <c r="D185" s="88" t="s">
        <v>149</v>
      </c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90"/>
      <c r="P185" s="254">
        <f>(P183+P184)*18%</f>
        <v>62849.788474576279</v>
      </c>
      <c r="Q185" s="255"/>
      <c r="R185" s="256"/>
      <c r="S185" s="110"/>
      <c r="T185" s="111"/>
      <c r="U185" s="112"/>
      <c r="V185" s="65"/>
      <c r="W185" s="65"/>
      <c r="X185" s="65"/>
      <c r="Y185" s="65"/>
    </row>
    <row r="186" spans="2:25" ht="15.75" x14ac:dyDescent="0.25">
      <c r="B186" s="252">
        <v>409400</v>
      </c>
      <c r="C186" s="253"/>
      <c r="D186" s="91"/>
      <c r="E186" s="89"/>
      <c r="F186" s="89"/>
      <c r="G186" s="89"/>
      <c r="H186" s="92" t="s">
        <v>172</v>
      </c>
      <c r="I186" s="89"/>
      <c r="J186" s="89"/>
      <c r="K186" s="89"/>
      <c r="L186" s="89"/>
      <c r="M186" s="89"/>
      <c r="N186" s="89"/>
      <c r="O186" s="90"/>
      <c r="P186" s="254"/>
      <c r="Q186" s="255"/>
      <c r="R186" s="256"/>
      <c r="S186" s="254">
        <f>I157</f>
        <v>2973442.35</v>
      </c>
      <c r="T186" s="255"/>
      <c r="U186" s="256"/>
      <c r="V186" s="65"/>
      <c r="W186" s="65"/>
      <c r="X186" s="65"/>
      <c r="Y186" s="65"/>
    </row>
    <row r="187" spans="2:25" ht="15.75" x14ac:dyDescent="0.25">
      <c r="B187" s="95"/>
      <c r="C187" s="96"/>
      <c r="D187" s="97" t="str">
        <f>B152</f>
        <v xml:space="preserve">N/AV N°300-3 </v>
      </c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9"/>
      <c r="P187" s="257"/>
      <c r="Q187" s="258"/>
      <c r="R187" s="259"/>
      <c r="S187" s="257"/>
      <c r="T187" s="258"/>
      <c r="U187" s="259"/>
      <c r="V187" s="65"/>
      <c r="W187" s="65"/>
      <c r="X187" s="65"/>
      <c r="Y187" s="65"/>
    </row>
    <row r="188" spans="2:25" s="109" customFormat="1" ht="15.75" x14ac:dyDescent="0.25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284">
        <f>SUM(P181:R187)</f>
        <v>2973442.35</v>
      </c>
      <c r="Q188" s="284"/>
      <c r="R188" s="284"/>
      <c r="S188" s="284">
        <f>SUM(S181:U187)</f>
        <v>2973442.35</v>
      </c>
      <c r="T188" s="284"/>
      <c r="U188" s="284"/>
      <c r="V188" s="83"/>
      <c r="W188" s="298"/>
      <c r="X188" s="299"/>
      <c r="Y188" s="299"/>
    </row>
    <row r="189" spans="2:25" ht="16.5" thickBot="1" x14ac:dyDescent="0.3">
      <c r="B189" s="2" t="s">
        <v>173</v>
      </c>
      <c r="C189" s="2"/>
      <c r="D189" s="2"/>
      <c r="E189" s="2"/>
      <c r="F189" s="2"/>
      <c r="G189" s="2"/>
      <c r="H189" s="2"/>
      <c r="I189" s="2"/>
      <c r="J189" s="2"/>
      <c r="K189" s="2"/>
    </row>
    <row r="190" spans="2:25" ht="15.75" x14ac:dyDescent="0.25">
      <c r="B190" s="43" t="s">
        <v>2</v>
      </c>
      <c r="C190" s="44"/>
      <c r="D190" s="44"/>
      <c r="E190" s="44"/>
      <c r="F190" s="44"/>
      <c r="G190" s="300">
        <v>44301</v>
      </c>
      <c r="H190" s="300"/>
      <c r="I190" s="300"/>
      <c r="J190" s="45"/>
      <c r="K190" s="46"/>
    </row>
    <row r="191" spans="2:25" ht="15.75" x14ac:dyDescent="0.25">
      <c r="B191" s="55" t="s">
        <v>136</v>
      </c>
      <c r="C191" s="48"/>
      <c r="D191" s="48"/>
      <c r="E191" s="48"/>
      <c r="F191" s="48"/>
      <c r="G191" s="48" t="s">
        <v>137</v>
      </c>
      <c r="H191" s="48"/>
      <c r="I191" s="48"/>
      <c r="J191" s="48"/>
      <c r="K191" s="49"/>
    </row>
    <row r="192" spans="2:25" ht="16.5" thickBot="1" x14ac:dyDescent="0.3">
      <c r="B192" s="301"/>
      <c r="C192" s="302"/>
      <c r="D192" s="302"/>
      <c r="E192" s="50"/>
      <c r="F192" s="50"/>
      <c r="G192" s="51" t="s">
        <v>88</v>
      </c>
      <c r="H192" s="52"/>
      <c r="I192" s="50"/>
      <c r="J192" s="50"/>
      <c r="K192" s="53"/>
    </row>
    <row r="193" spans="2:21" ht="15.75" x14ac:dyDescent="0.25">
      <c r="B193" s="303">
        <f>G2</f>
        <v>44287</v>
      </c>
      <c r="C193" s="300"/>
      <c r="D193" s="300"/>
      <c r="E193" s="113" t="str">
        <f>B3</f>
        <v>Facture N°300</v>
      </c>
      <c r="F193" s="48"/>
      <c r="G193" s="48"/>
      <c r="H193" s="48"/>
      <c r="I193" s="289">
        <f>I25</f>
        <v>7224245.2400000002</v>
      </c>
      <c r="J193" s="290"/>
      <c r="K193" s="291"/>
    </row>
    <row r="194" spans="2:21" ht="15.75" x14ac:dyDescent="0.25">
      <c r="B194" s="287">
        <f>G74</f>
        <v>44301</v>
      </c>
      <c r="C194" s="288"/>
      <c r="D194" s="288"/>
      <c r="E194" s="48" t="str">
        <f>B75</f>
        <v xml:space="preserve">N/AV N°300-1 </v>
      </c>
      <c r="F194" s="48"/>
      <c r="G194" s="48"/>
      <c r="H194" s="48"/>
      <c r="I194" s="289">
        <f>I78</f>
        <v>-224245.0047335038</v>
      </c>
      <c r="J194" s="290"/>
      <c r="K194" s="291"/>
    </row>
    <row r="195" spans="2:21" ht="15.75" x14ac:dyDescent="0.25">
      <c r="B195" s="287">
        <f>G100</f>
        <v>44302</v>
      </c>
      <c r="C195" s="288"/>
      <c r="D195" s="288"/>
      <c r="E195" s="113" t="str">
        <f>B101</f>
        <v xml:space="preserve">Fact. AV N°300-2 </v>
      </c>
      <c r="F195" s="48"/>
      <c r="G195" s="48"/>
      <c r="H195" s="48"/>
      <c r="I195" s="289">
        <f>-I123</f>
        <v>-1438573.5872363658</v>
      </c>
      <c r="J195" s="290"/>
      <c r="K195" s="291"/>
    </row>
    <row r="196" spans="2:21" ht="15.75" x14ac:dyDescent="0.25">
      <c r="B196" s="287">
        <f>G151</f>
        <v>44308</v>
      </c>
      <c r="C196" s="288"/>
      <c r="D196" s="288"/>
      <c r="E196" s="48" t="str">
        <f>B152</f>
        <v xml:space="preserve">N/AV N°300-3 </v>
      </c>
      <c r="F196" s="48"/>
      <c r="G196" s="48"/>
      <c r="H196" s="48"/>
      <c r="I196" s="289">
        <f>-I166</f>
        <v>-2561427.0700000003</v>
      </c>
      <c r="J196" s="290"/>
      <c r="K196" s="291"/>
    </row>
    <row r="197" spans="2:21" ht="16.5" thickBot="1" x14ac:dyDescent="0.3">
      <c r="B197" s="292" t="s">
        <v>102</v>
      </c>
      <c r="C197" s="293"/>
      <c r="D197" s="293"/>
      <c r="E197" s="293"/>
      <c r="F197" s="293"/>
      <c r="G197" s="293"/>
      <c r="H197" s="294"/>
      <c r="I197" s="295">
        <f>SUM(I193:K196)</f>
        <v>2999999.5780301299</v>
      </c>
      <c r="J197" s="296"/>
      <c r="K197" s="297"/>
      <c r="L197" s="285"/>
      <c r="M197" s="286"/>
      <c r="N197" s="286"/>
    </row>
    <row r="198" spans="2:21" ht="15.75" x14ac:dyDescent="0.25">
      <c r="B198" s="42" t="s">
        <v>174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2:21" ht="15.75" x14ac:dyDescent="0.25">
      <c r="B199" s="64" t="s">
        <v>104</v>
      </c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</row>
    <row r="200" spans="2:21" ht="15.75" x14ac:dyDescent="0.25">
      <c r="B200" s="280" t="s">
        <v>105</v>
      </c>
      <c r="C200" s="281"/>
      <c r="D200" s="267" t="s">
        <v>106</v>
      </c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8" t="s">
        <v>51</v>
      </c>
      <c r="Q200" s="269"/>
      <c r="R200" s="269"/>
      <c r="S200" s="269"/>
      <c r="T200" s="269"/>
      <c r="U200" s="270"/>
    </row>
    <row r="201" spans="2:21" ht="15.75" x14ac:dyDescent="0.25">
      <c r="B201" s="282"/>
      <c r="C201" s="283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8" t="s">
        <v>107</v>
      </c>
      <c r="Q201" s="269"/>
      <c r="R201" s="270"/>
      <c r="S201" s="268" t="s">
        <v>108</v>
      </c>
      <c r="T201" s="269"/>
      <c r="U201" s="270"/>
    </row>
    <row r="202" spans="2:21" ht="15.75" x14ac:dyDescent="0.25">
      <c r="B202" s="276"/>
      <c r="C202" s="277"/>
      <c r="D202" s="278">
        <v>44317</v>
      </c>
      <c r="E202" s="279"/>
      <c r="F202" s="279"/>
      <c r="G202" s="66"/>
      <c r="H202" s="66"/>
      <c r="I202" s="66"/>
      <c r="J202" s="66"/>
      <c r="K202" s="66"/>
      <c r="L202" s="66"/>
      <c r="M202" s="66"/>
      <c r="N202" s="66"/>
      <c r="O202" s="67"/>
      <c r="P202" s="262"/>
      <c r="Q202" s="263"/>
      <c r="R202" s="264"/>
      <c r="S202" s="262"/>
      <c r="T202" s="263"/>
      <c r="U202" s="264"/>
    </row>
    <row r="203" spans="2:21" ht="15.75" x14ac:dyDescent="0.25">
      <c r="B203" s="271">
        <v>571100</v>
      </c>
      <c r="C203" s="272"/>
      <c r="D203" s="68" t="s">
        <v>175</v>
      </c>
      <c r="E203" s="69"/>
      <c r="F203" s="69"/>
      <c r="G203" s="48"/>
      <c r="H203" s="48"/>
      <c r="I203" s="48"/>
      <c r="J203" s="48"/>
      <c r="K203" s="48"/>
      <c r="L203" s="48"/>
      <c r="M203" s="48"/>
      <c r="N203" s="48"/>
      <c r="O203" s="70"/>
      <c r="P203" s="254">
        <v>1000000</v>
      </c>
      <c r="Q203" s="255"/>
      <c r="R203" s="256"/>
      <c r="S203" s="254"/>
      <c r="T203" s="255"/>
      <c r="U203" s="256"/>
    </row>
    <row r="204" spans="2:21" ht="15.75" x14ac:dyDescent="0.25">
      <c r="B204" s="271">
        <v>411100</v>
      </c>
      <c r="C204" s="272"/>
      <c r="D204" s="68"/>
      <c r="E204" s="69"/>
      <c r="F204" s="69"/>
      <c r="G204" s="48"/>
      <c r="H204" s="48" t="s">
        <v>116</v>
      </c>
      <c r="I204" s="48"/>
      <c r="J204" s="48"/>
      <c r="K204" s="48"/>
      <c r="L204" s="48"/>
      <c r="M204" s="48"/>
      <c r="N204" s="48"/>
      <c r="O204" s="70"/>
      <c r="P204" s="254"/>
      <c r="Q204" s="255"/>
      <c r="R204" s="256"/>
      <c r="S204" s="254">
        <v>1000000</v>
      </c>
      <c r="T204" s="255"/>
      <c r="U204" s="256"/>
    </row>
    <row r="205" spans="2:21" ht="15.75" x14ac:dyDescent="0.25">
      <c r="B205" s="71"/>
      <c r="C205" s="72"/>
      <c r="D205" s="73" t="s">
        <v>176</v>
      </c>
      <c r="E205" s="74"/>
      <c r="F205" s="74"/>
      <c r="G205" s="75"/>
      <c r="H205" s="75"/>
      <c r="I205" s="75"/>
      <c r="J205" s="75"/>
      <c r="K205" s="75"/>
      <c r="L205" s="75"/>
      <c r="M205" s="75"/>
      <c r="N205" s="75"/>
      <c r="O205" s="76"/>
      <c r="P205" s="257"/>
      <c r="Q205" s="258"/>
      <c r="R205" s="259"/>
      <c r="S205" s="257"/>
      <c r="T205" s="258"/>
      <c r="U205" s="259"/>
    </row>
    <row r="206" spans="2:21" ht="15.75" x14ac:dyDescent="0.25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265">
        <f>SUM(P202:R205)</f>
        <v>1000000</v>
      </c>
      <c r="Q206" s="265"/>
      <c r="R206" s="265"/>
      <c r="S206" s="265">
        <f>SUM(S202:U205)</f>
        <v>1000000</v>
      </c>
      <c r="T206" s="265"/>
      <c r="U206" s="265"/>
    </row>
    <row r="207" spans="2:21" ht="15.75" x14ac:dyDescent="0.25">
      <c r="B207" s="64" t="s">
        <v>122</v>
      </c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</row>
    <row r="208" spans="2:21" ht="15.75" x14ac:dyDescent="0.25">
      <c r="B208" s="266" t="s">
        <v>105</v>
      </c>
      <c r="C208" s="266"/>
      <c r="D208" s="267" t="s">
        <v>106</v>
      </c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8" t="s">
        <v>51</v>
      </c>
      <c r="Q208" s="269"/>
      <c r="R208" s="269"/>
      <c r="S208" s="269"/>
      <c r="T208" s="269"/>
      <c r="U208" s="270"/>
    </row>
    <row r="209" spans="2:21" ht="15.75" x14ac:dyDescent="0.25">
      <c r="B209" s="266"/>
      <c r="C209" s="266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8" t="s">
        <v>107</v>
      </c>
      <c r="Q209" s="269"/>
      <c r="R209" s="270"/>
      <c r="S209" s="268" t="s">
        <v>108</v>
      </c>
      <c r="T209" s="269"/>
      <c r="U209" s="270"/>
    </row>
    <row r="210" spans="2:21" ht="15.75" x14ac:dyDescent="0.25">
      <c r="B210" s="84"/>
      <c r="C210" s="85"/>
      <c r="D210" s="260">
        <f>+D202</f>
        <v>44317</v>
      </c>
      <c r="E210" s="261"/>
      <c r="F210" s="261"/>
      <c r="G210" s="86"/>
      <c r="H210" s="86"/>
      <c r="I210" s="86"/>
      <c r="J210" s="86"/>
      <c r="K210" s="86"/>
      <c r="L210" s="86"/>
      <c r="M210" s="86"/>
      <c r="N210" s="86"/>
      <c r="O210" s="87"/>
      <c r="P210" s="262"/>
      <c r="Q210" s="263"/>
      <c r="R210" s="264"/>
      <c r="S210" s="262"/>
      <c r="T210" s="263"/>
      <c r="U210" s="264"/>
    </row>
    <row r="211" spans="2:21" ht="15.75" x14ac:dyDescent="0.25">
      <c r="B211" s="252">
        <v>401100</v>
      </c>
      <c r="C211" s="253"/>
      <c r="D211" s="88" t="s">
        <v>141</v>
      </c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90"/>
      <c r="P211" s="254">
        <v>1000000</v>
      </c>
      <c r="Q211" s="255"/>
      <c r="R211" s="256"/>
      <c r="S211" s="254"/>
      <c r="T211" s="255"/>
      <c r="U211" s="256"/>
    </row>
    <row r="212" spans="2:21" ht="15.75" x14ac:dyDescent="0.25">
      <c r="B212" s="252">
        <v>571100</v>
      </c>
      <c r="C212" s="253"/>
      <c r="D212" s="91"/>
      <c r="E212" s="89"/>
      <c r="F212" s="89"/>
      <c r="G212" s="89"/>
      <c r="H212" s="92" t="s">
        <v>175</v>
      </c>
      <c r="I212" s="89"/>
      <c r="J212" s="89"/>
      <c r="K212" s="89"/>
      <c r="L212" s="89"/>
      <c r="M212" s="89"/>
      <c r="N212" s="89"/>
      <c r="O212" s="90"/>
      <c r="P212" s="254"/>
      <c r="Q212" s="255"/>
      <c r="R212" s="256"/>
      <c r="S212" s="254">
        <v>1000000</v>
      </c>
      <c r="T212" s="255"/>
      <c r="U212" s="256"/>
    </row>
    <row r="213" spans="2:21" ht="15.75" x14ac:dyDescent="0.25">
      <c r="B213" s="95"/>
      <c r="C213" s="96"/>
      <c r="D213" s="73" t="s">
        <v>177</v>
      </c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9"/>
      <c r="P213" s="257"/>
      <c r="Q213" s="258"/>
      <c r="R213" s="259"/>
      <c r="S213" s="257"/>
      <c r="T213" s="258"/>
      <c r="U213" s="259"/>
    </row>
    <row r="214" spans="2:21" ht="15.75" x14ac:dyDescent="0.25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284">
        <f>SUM(P210:R213)</f>
        <v>1000000</v>
      </c>
      <c r="Q214" s="284"/>
      <c r="R214" s="284"/>
      <c r="S214" s="284">
        <f>SUM(S210:U213)</f>
        <v>1000000</v>
      </c>
      <c r="T214" s="284"/>
      <c r="U214" s="284"/>
    </row>
    <row r="215" spans="2:21" ht="15.75" x14ac:dyDescent="0.25">
      <c r="B215" s="42" t="s">
        <v>178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2:21" ht="15.75" x14ac:dyDescent="0.25">
      <c r="B216" s="64" t="s">
        <v>104</v>
      </c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</row>
    <row r="217" spans="2:21" ht="15.75" x14ac:dyDescent="0.25">
      <c r="B217" s="280" t="s">
        <v>105</v>
      </c>
      <c r="C217" s="281"/>
      <c r="D217" s="267" t="s">
        <v>106</v>
      </c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8" t="s">
        <v>51</v>
      </c>
      <c r="Q217" s="269"/>
      <c r="R217" s="269"/>
      <c r="S217" s="269"/>
      <c r="T217" s="269"/>
      <c r="U217" s="270"/>
    </row>
    <row r="218" spans="2:21" ht="15.75" x14ac:dyDescent="0.25">
      <c r="B218" s="282"/>
      <c r="C218" s="283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8" t="s">
        <v>107</v>
      </c>
      <c r="Q218" s="269"/>
      <c r="R218" s="270"/>
      <c r="S218" s="268" t="s">
        <v>108</v>
      </c>
      <c r="T218" s="269"/>
      <c r="U218" s="270"/>
    </row>
    <row r="219" spans="2:21" ht="15.75" x14ac:dyDescent="0.25">
      <c r="B219" s="276"/>
      <c r="C219" s="277"/>
      <c r="D219" s="278">
        <v>44348</v>
      </c>
      <c r="E219" s="279"/>
      <c r="F219" s="279"/>
      <c r="G219" s="66"/>
      <c r="H219" s="66"/>
      <c r="I219" s="66"/>
      <c r="J219" s="66"/>
      <c r="K219" s="66"/>
      <c r="L219" s="66"/>
      <c r="M219" s="66"/>
      <c r="N219" s="66"/>
      <c r="O219" s="67"/>
      <c r="P219" s="262"/>
      <c r="Q219" s="263"/>
      <c r="R219" s="264"/>
      <c r="S219" s="262"/>
      <c r="T219" s="263"/>
      <c r="U219" s="264"/>
    </row>
    <row r="220" spans="2:21" ht="15.75" x14ac:dyDescent="0.25">
      <c r="B220" s="271">
        <v>513100</v>
      </c>
      <c r="C220" s="272"/>
      <c r="D220" s="68" t="s">
        <v>179</v>
      </c>
      <c r="E220" s="69"/>
      <c r="F220" s="69"/>
      <c r="G220" s="48"/>
      <c r="H220" s="48"/>
      <c r="I220" s="48"/>
      <c r="J220" s="48"/>
      <c r="K220" s="48"/>
      <c r="L220" s="48"/>
      <c r="M220" s="48"/>
      <c r="N220" s="48"/>
      <c r="O220" s="70"/>
      <c r="P220" s="254">
        <v>1000000</v>
      </c>
      <c r="Q220" s="255"/>
      <c r="R220" s="256"/>
      <c r="S220" s="254"/>
      <c r="T220" s="255"/>
      <c r="U220" s="256"/>
    </row>
    <row r="221" spans="2:21" ht="15.75" x14ac:dyDescent="0.25">
      <c r="B221" s="271">
        <v>411100</v>
      </c>
      <c r="C221" s="272"/>
      <c r="D221" s="68"/>
      <c r="E221" s="69"/>
      <c r="F221" s="69"/>
      <c r="G221" s="48"/>
      <c r="H221" s="48" t="s">
        <v>116</v>
      </c>
      <c r="I221" s="48"/>
      <c r="J221" s="48"/>
      <c r="K221" s="48"/>
      <c r="L221" s="48"/>
      <c r="M221" s="48"/>
      <c r="N221" s="48"/>
      <c r="O221" s="70"/>
      <c r="P221" s="254"/>
      <c r="Q221" s="255"/>
      <c r="R221" s="256"/>
      <c r="S221" s="254">
        <v>1000000</v>
      </c>
      <c r="T221" s="255"/>
      <c r="U221" s="256"/>
    </row>
    <row r="222" spans="2:21" ht="15.75" x14ac:dyDescent="0.25">
      <c r="B222" s="71"/>
      <c r="C222" s="72"/>
      <c r="D222" s="73" t="s">
        <v>180</v>
      </c>
      <c r="E222" s="74"/>
      <c r="F222" s="74"/>
      <c r="G222" s="75"/>
      <c r="H222" s="75"/>
      <c r="I222" s="75"/>
      <c r="J222" s="75"/>
      <c r="K222" s="75"/>
      <c r="L222" s="75"/>
      <c r="M222" s="75"/>
      <c r="N222" s="75"/>
      <c r="O222" s="76"/>
      <c r="P222" s="257"/>
      <c r="Q222" s="258"/>
      <c r="R222" s="259"/>
      <c r="S222" s="257"/>
      <c r="T222" s="258"/>
      <c r="U222" s="259"/>
    </row>
    <row r="223" spans="2:21" ht="15.75" x14ac:dyDescent="0.25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265">
        <f>SUM(P219:R222)</f>
        <v>1000000</v>
      </c>
      <c r="Q223" s="265"/>
      <c r="R223" s="265"/>
      <c r="S223" s="265">
        <f>SUM(S219:U222)</f>
        <v>1000000</v>
      </c>
      <c r="T223" s="265"/>
      <c r="U223" s="265"/>
    </row>
    <row r="224" spans="2:21" ht="15.75" x14ac:dyDescent="0.25">
      <c r="B224" s="280" t="s">
        <v>105</v>
      </c>
      <c r="C224" s="281"/>
      <c r="D224" s="267" t="s">
        <v>106</v>
      </c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8" t="s">
        <v>51</v>
      </c>
      <c r="Q224" s="269"/>
      <c r="R224" s="269"/>
      <c r="S224" s="269"/>
      <c r="T224" s="269"/>
      <c r="U224" s="270"/>
    </row>
    <row r="225" spans="2:21" ht="15.75" x14ac:dyDescent="0.25">
      <c r="B225" s="282"/>
      <c r="C225" s="283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8" t="s">
        <v>107</v>
      </c>
      <c r="Q225" s="269"/>
      <c r="R225" s="270"/>
      <c r="S225" s="268" t="s">
        <v>108</v>
      </c>
      <c r="T225" s="269"/>
      <c r="U225" s="270"/>
    </row>
    <row r="226" spans="2:21" ht="15.75" x14ac:dyDescent="0.25">
      <c r="B226" s="276"/>
      <c r="C226" s="277"/>
      <c r="D226" s="278">
        <v>44348</v>
      </c>
      <c r="E226" s="279"/>
      <c r="F226" s="279"/>
      <c r="G226" s="66"/>
      <c r="H226" s="66"/>
      <c r="I226" s="66"/>
      <c r="J226" s="66"/>
      <c r="K226" s="66"/>
      <c r="L226" s="66"/>
      <c r="M226" s="66"/>
      <c r="N226" s="66"/>
      <c r="O226" s="67"/>
      <c r="P226" s="262"/>
      <c r="Q226" s="263"/>
      <c r="R226" s="264"/>
      <c r="S226" s="262"/>
      <c r="T226" s="263"/>
      <c r="U226" s="264"/>
    </row>
    <row r="227" spans="2:21" ht="15.75" x14ac:dyDescent="0.25">
      <c r="B227" s="271">
        <v>514100</v>
      </c>
      <c r="C227" s="272"/>
      <c r="D227" s="68" t="s">
        <v>181</v>
      </c>
      <c r="E227" s="69"/>
      <c r="F227" s="69"/>
      <c r="G227" s="48"/>
      <c r="H227" s="48"/>
      <c r="I227" s="48"/>
      <c r="J227" s="48"/>
      <c r="K227" s="48"/>
      <c r="L227" s="48"/>
      <c r="M227" s="48"/>
      <c r="N227" s="48"/>
      <c r="O227" s="70"/>
      <c r="P227" s="254">
        <v>1000000</v>
      </c>
      <c r="Q227" s="255"/>
      <c r="R227" s="256"/>
      <c r="S227" s="254"/>
      <c r="T227" s="255"/>
      <c r="U227" s="256"/>
    </row>
    <row r="228" spans="2:21" ht="15.75" x14ac:dyDescent="0.25">
      <c r="B228" s="271">
        <v>513100</v>
      </c>
      <c r="C228" s="272"/>
      <c r="D228" s="68"/>
      <c r="E228" s="69"/>
      <c r="F228" s="69"/>
      <c r="G228" s="48"/>
      <c r="H228" s="69" t="s">
        <v>179</v>
      </c>
      <c r="I228" s="48"/>
      <c r="J228" s="48"/>
      <c r="K228" s="48"/>
      <c r="L228" s="48"/>
      <c r="M228" s="48"/>
      <c r="N228" s="48"/>
      <c r="O228" s="70"/>
      <c r="P228" s="254"/>
      <c r="Q228" s="255"/>
      <c r="R228" s="256"/>
      <c r="S228" s="254">
        <v>1000000</v>
      </c>
      <c r="T228" s="255"/>
      <c r="U228" s="256"/>
    </row>
    <row r="229" spans="2:21" ht="15.75" x14ac:dyDescent="0.25">
      <c r="B229" s="71"/>
      <c r="C229" s="72"/>
      <c r="D229" s="73" t="s">
        <v>182</v>
      </c>
      <c r="E229" s="74"/>
      <c r="F229" s="74"/>
      <c r="G229" s="75"/>
      <c r="H229" s="75"/>
      <c r="I229" s="75"/>
      <c r="J229" s="75"/>
      <c r="K229" s="75"/>
      <c r="L229" s="75"/>
      <c r="M229" s="75"/>
      <c r="N229" s="75"/>
      <c r="O229" s="76"/>
      <c r="P229" s="257"/>
      <c r="Q229" s="258"/>
      <c r="R229" s="259"/>
      <c r="S229" s="257"/>
      <c r="T229" s="258"/>
      <c r="U229" s="259"/>
    </row>
    <row r="230" spans="2:21" ht="15.75" x14ac:dyDescent="0.25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265">
        <f>SUM(P226:R229)</f>
        <v>1000000</v>
      </c>
      <c r="Q230" s="265"/>
      <c r="R230" s="265"/>
      <c r="S230" s="265">
        <f>SUM(S226:U229)</f>
        <v>1000000</v>
      </c>
      <c r="T230" s="265"/>
      <c r="U230" s="265"/>
    </row>
    <row r="231" spans="2:21" ht="15.75" x14ac:dyDescent="0.25">
      <c r="B231" s="280" t="s">
        <v>105</v>
      </c>
      <c r="C231" s="281"/>
      <c r="D231" s="267" t="s">
        <v>106</v>
      </c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8" t="s">
        <v>51</v>
      </c>
      <c r="Q231" s="269"/>
      <c r="R231" s="269"/>
      <c r="S231" s="269"/>
      <c r="T231" s="269"/>
      <c r="U231" s="270"/>
    </row>
    <row r="232" spans="2:21" ht="15.75" x14ac:dyDescent="0.25">
      <c r="B232" s="282"/>
      <c r="C232" s="283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8" t="s">
        <v>107</v>
      </c>
      <c r="Q232" s="269"/>
      <c r="R232" s="270"/>
      <c r="S232" s="268" t="s">
        <v>108</v>
      </c>
      <c r="T232" s="269"/>
      <c r="U232" s="270"/>
    </row>
    <row r="233" spans="2:21" ht="15.75" x14ac:dyDescent="0.25">
      <c r="B233" s="276"/>
      <c r="C233" s="277"/>
      <c r="D233" s="278">
        <v>44348</v>
      </c>
      <c r="E233" s="279"/>
      <c r="F233" s="279"/>
      <c r="G233" s="66"/>
      <c r="H233" s="66"/>
      <c r="I233" s="66"/>
      <c r="J233" s="66"/>
      <c r="K233" s="66"/>
      <c r="L233" s="66"/>
      <c r="M233" s="66"/>
      <c r="N233" s="66"/>
      <c r="O233" s="67"/>
      <c r="P233" s="262"/>
      <c r="Q233" s="263"/>
      <c r="R233" s="264"/>
      <c r="S233" s="262"/>
      <c r="T233" s="263"/>
      <c r="U233" s="264"/>
    </row>
    <row r="234" spans="2:21" ht="15.75" x14ac:dyDescent="0.25">
      <c r="B234" s="271">
        <v>521100</v>
      </c>
      <c r="C234" s="272"/>
      <c r="D234" s="68" t="s">
        <v>112</v>
      </c>
      <c r="E234" s="69"/>
      <c r="F234" s="69"/>
      <c r="G234" s="48"/>
      <c r="H234" s="48"/>
      <c r="I234" s="48"/>
      <c r="J234" s="48"/>
      <c r="K234" s="48"/>
      <c r="L234" s="48"/>
      <c r="M234" s="48"/>
      <c r="N234" s="48"/>
      <c r="O234" s="70"/>
      <c r="P234" s="254">
        <v>1000000</v>
      </c>
      <c r="Q234" s="255"/>
      <c r="R234" s="256"/>
      <c r="S234" s="254"/>
      <c r="T234" s="255"/>
      <c r="U234" s="256"/>
    </row>
    <row r="235" spans="2:21" ht="15.75" x14ac:dyDescent="0.25">
      <c r="B235" s="271">
        <v>514100</v>
      </c>
      <c r="C235" s="272"/>
      <c r="D235" s="68"/>
      <c r="E235" s="69"/>
      <c r="F235" s="69"/>
      <c r="G235" s="48"/>
      <c r="H235" s="69" t="s">
        <v>181</v>
      </c>
      <c r="I235" s="48"/>
      <c r="J235" s="48"/>
      <c r="K235" s="48"/>
      <c r="L235" s="48"/>
      <c r="M235" s="48"/>
      <c r="N235" s="48"/>
      <c r="O235" s="70"/>
      <c r="P235" s="254"/>
      <c r="Q235" s="255"/>
      <c r="R235" s="256"/>
      <c r="S235" s="254">
        <v>1000000</v>
      </c>
      <c r="T235" s="255"/>
      <c r="U235" s="256"/>
    </row>
    <row r="236" spans="2:21" ht="15.75" x14ac:dyDescent="0.25">
      <c r="B236" s="71"/>
      <c r="C236" s="72"/>
      <c r="D236" s="73" t="s">
        <v>183</v>
      </c>
      <c r="E236" s="74"/>
      <c r="F236" s="74"/>
      <c r="G236" s="75"/>
      <c r="H236" s="75"/>
      <c r="I236" s="75"/>
      <c r="J236" s="75"/>
      <c r="K236" s="75"/>
      <c r="L236" s="75"/>
      <c r="M236" s="75"/>
      <c r="N236" s="75"/>
      <c r="O236" s="76"/>
      <c r="P236" s="257"/>
      <c r="Q236" s="258"/>
      <c r="R236" s="259"/>
      <c r="S236" s="257"/>
      <c r="T236" s="258"/>
      <c r="U236" s="259"/>
    </row>
    <row r="237" spans="2:21" ht="15.75" x14ac:dyDescent="0.25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265">
        <f>SUM(P233:R236)</f>
        <v>1000000</v>
      </c>
      <c r="Q237" s="265"/>
      <c r="R237" s="265"/>
      <c r="S237" s="265">
        <f>SUM(S233:U236)</f>
        <v>1000000</v>
      </c>
      <c r="T237" s="265"/>
      <c r="U237" s="265"/>
    </row>
    <row r="238" spans="2:21" ht="15.75" x14ac:dyDescent="0.25">
      <c r="B238" s="64" t="s">
        <v>122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</row>
    <row r="239" spans="2:21" ht="15.75" x14ac:dyDescent="0.25">
      <c r="B239" s="266" t="s">
        <v>105</v>
      </c>
      <c r="C239" s="266"/>
      <c r="D239" s="267" t="s">
        <v>106</v>
      </c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8" t="s">
        <v>51</v>
      </c>
      <c r="Q239" s="269"/>
      <c r="R239" s="269"/>
      <c r="S239" s="269"/>
      <c r="T239" s="269"/>
      <c r="U239" s="270"/>
    </row>
    <row r="240" spans="2:21" ht="15.75" x14ac:dyDescent="0.25">
      <c r="B240" s="266"/>
      <c r="C240" s="266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8" t="s">
        <v>107</v>
      </c>
      <c r="Q240" s="269"/>
      <c r="R240" s="270"/>
      <c r="S240" s="268" t="s">
        <v>108</v>
      </c>
      <c r="T240" s="269"/>
      <c r="U240" s="270"/>
    </row>
    <row r="241" spans="2:21" ht="15.75" x14ac:dyDescent="0.25">
      <c r="B241" s="84"/>
      <c r="C241" s="85"/>
      <c r="D241" s="260">
        <f>+D219</f>
        <v>44348</v>
      </c>
      <c r="E241" s="261"/>
      <c r="F241" s="261"/>
      <c r="G241" s="86"/>
      <c r="H241" s="86"/>
      <c r="I241" s="86"/>
      <c r="J241" s="86"/>
      <c r="K241" s="86"/>
      <c r="L241" s="86"/>
      <c r="M241" s="86"/>
      <c r="N241" s="86"/>
      <c r="O241" s="87"/>
      <c r="P241" s="262"/>
      <c r="Q241" s="263"/>
      <c r="R241" s="264"/>
      <c r="S241" s="262"/>
      <c r="T241" s="263"/>
      <c r="U241" s="264"/>
    </row>
    <row r="242" spans="2:21" ht="15.75" x14ac:dyDescent="0.25">
      <c r="B242" s="252">
        <v>401100</v>
      </c>
      <c r="C242" s="253"/>
      <c r="D242" s="88" t="s">
        <v>141</v>
      </c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90"/>
      <c r="P242" s="254">
        <v>1000000</v>
      </c>
      <c r="Q242" s="255"/>
      <c r="R242" s="256"/>
      <c r="S242" s="254"/>
      <c r="T242" s="255"/>
      <c r="U242" s="256"/>
    </row>
    <row r="243" spans="2:21" ht="15.75" x14ac:dyDescent="0.25">
      <c r="B243" s="252">
        <v>521100</v>
      </c>
      <c r="C243" s="253"/>
      <c r="D243" s="91"/>
      <c r="E243" s="89"/>
      <c r="F243" s="89"/>
      <c r="G243" s="89"/>
      <c r="H243" s="92" t="s">
        <v>112</v>
      </c>
      <c r="I243" s="89"/>
      <c r="J243" s="89"/>
      <c r="K243" s="89"/>
      <c r="L243" s="89"/>
      <c r="M243" s="89"/>
      <c r="N243" s="89"/>
      <c r="O243" s="90"/>
      <c r="P243" s="254"/>
      <c r="Q243" s="255"/>
      <c r="R243" s="256"/>
      <c r="S243" s="254">
        <v>1000000</v>
      </c>
      <c r="T243" s="255"/>
      <c r="U243" s="256"/>
    </row>
    <row r="244" spans="2:21" ht="15.75" x14ac:dyDescent="0.25">
      <c r="B244" s="95"/>
      <c r="C244" s="96"/>
      <c r="D244" s="73" t="s">
        <v>184</v>
      </c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9"/>
      <c r="P244" s="257"/>
      <c r="Q244" s="258"/>
      <c r="R244" s="259"/>
      <c r="S244" s="257"/>
      <c r="T244" s="258"/>
      <c r="U244" s="259"/>
    </row>
    <row r="245" spans="2:21" ht="15.75" x14ac:dyDescent="0.25">
      <c r="P245" s="265">
        <f>SUM(P241:R244)</f>
        <v>1000000</v>
      </c>
      <c r="Q245" s="265"/>
      <c r="R245" s="265"/>
      <c r="S245" s="265">
        <f>SUM(S241:U244)</f>
        <v>1000000</v>
      </c>
      <c r="T245" s="265"/>
      <c r="U245" s="265"/>
    </row>
    <row r="246" spans="2:21" ht="15.75" x14ac:dyDescent="0.25">
      <c r="B246" s="42" t="s">
        <v>185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2:21" ht="15.75" x14ac:dyDescent="0.25">
      <c r="B247" s="64" t="s">
        <v>104</v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</row>
    <row r="248" spans="2:21" ht="15.75" x14ac:dyDescent="0.25">
      <c r="B248" s="280" t="s">
        <v>105</v>
      </c>
      <c r="C248" s="281"/>
      <c r="D248" s="267" t="s">
        <v>106</v>
      </c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8" t="s">
        <v>51</v>
      </c>
      <c r="Q248" s="269"/>
      <c r="R248" s="269"/>
      <c r="S248" s="269"/>
      <c r="T248" s="269"/>
      <c r="U248" s="270"/>
    </row>
    <row r="249" spans="2:21" ht="15.75" x14ac:dyDescent="0.25">
      <c r="B249" s="282"/>
      <c r="C249" s="283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8" t="s">
        <v>107</v>
      </c>
      <c r="Q249" s="269"/>
      <c r="R249" s="270"/>
      <c r="S249" s="268" t="s">
        <v>108</v>
      </c>
      <c r="T249" s="269"/>
      <c r="U249" s="270"/>
    </row>
    <row r="250" spans="2:21" ht="15.75" x14ac:dyDescent="0.25">
      <c r="B250" s="276"/>
      <c r="C250" s="277"/>
      <c r="D250" s="278">
        <v>44378</v>
      </c>
      <c r="E250" s="279"/>
      <c r="F250" s="279"/>
      <c r="G250" s="66"/>
      <c r="H250" s="66"/>
      <c r="I250" s="66"/>
      <c r="J250" s="66"/>
      <c r="K250" s="66"/>
      <c r="L250" s="66"/>
      <c r="M250" s="66"/>
      <c r="N250" s="66"/>
      <c r="O250" s="67"/>
      <c r="P250" s="262"/>
      <c r="Q250" s="263"/>
      <c r="R250" s="264"/>
      <c r="S250" s="262"/>
      <c r="T250" s="263"/>
      <c r="U250" s="264"/>
    </row>
    <row r="251" spans="2:21" ht="15.75" x14ac:dyDescent="0.25">
      <c r="B251" s="271">
        <v>412100</v>
      </c>
      <c r="C251" s="272"/>
      <c r="D251" s="68" t="s">
        <v>186</v>
      </c>
      <c r="E251" s="69"/>
      <c r="F251" s="69"/>
      <c r="G251" s="48"/>
      <c r="H251" s="48"/>
      <c r="I251" s="48"/>
      <c r="J251" s="48"/>
      <c r="K251" s="48"/>
      <c r="L251" s="48"/>
      <c r="M251" s="48"/>
      <c r="N251" s="48"/>
      <c r="O251" s="70"/>
      <c r="P251" s="254">
        <v>1000000</v>
      </c>
      <c r="Q251" s="255"/>
      <c r="R251" s="256"/>
      <c r="S251" s="254"/>
      <c r="T251" s="255"/>
      <c r="U251" s="256"/>
    </row>
    <row r="252" spans="2:21" ht="15.75" x14ac:dyDescent="0.25">
      <c r="B252" s="271">
        <v>411100</v>
      </c>
      <c r="C252" s="272"/>
      <c r="D252" s="68"/>
      <c r="E252" s="69"/>
      <c r="F252" s="69"/>
      <c r="G252" s="48"/>
      <c r="H252" s="48" t="s">
        <v>116</v>
      </c>
      <c r="I252" s="48"/>
      <c r="J252" s="48"/>
      <c r="K252" s="48"/>
      <c r="L252" s="48"/>
      <c r="M252" s="48"/>
      <c r="N252" s="48"/>
      <c r="O252" s="70"/>
      <c r="P252" s="254"/>
      <c r="Q252" s="255"/>
      <c r="R252" s="256"/>
      <c r="S252" s="254">
        <v>1000000</v>
      </c>
      <c r="T252" s="255"/>
      <c r="U252" s="256"/>
    </row>
    <row r="253" spans="2:21" ht="15.75" x14ac:dyDescent="0.25">
      <c r="B253" s="71"/>
      <c r="C253" s="72"/>
      <c r="D253" s="73" t="s">
        <v>187</v>
      </c>
      <c r="E253" s="74"/>
      <c r="F253" s="74"/>
      <c r="G253" s="75"/>
      <c r="H253" s="75"/>
      <c r="I253" s="75"/>
      <c r="J253" s="75"/>
      <c r="K253" s="75"/>
      <c r="L253" s="75"/>
      <c r="M253" s="75"/>
      <c r="N253" s="75"/>
      <c r="O253" s="76"/>
      <c r="P253" s="257"/>
      <c r="Q253" s="258"/>
      <c r="R253" s="259"/>
      <c r="S253" s="257"/>
      <c r="T253" s="258"/>
      <c r="U253" s="259"/>
    </row>
    <row r="254" spans="2:21" ht="15.75" x14ac:dyDescent="0.25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265">
        <f>SUM(P250:R253)</f>
        <v>1000000</v>
      </c>
      <c r="Q254" s="265"/>
      <c r="R254" s="265"/>
      <c r="S254" s="265">
        <f>SUM(S250:U253)</f>
        <v>1000000</v>
      </c>
      <c r="T254" s="265"/>
      <c r="U254" s="265"/>
    </row>
    <row r="255" spans="2:21" ht="15.75" x14ac:dyDescent="0.25">
      <c r="B255" s="280" t="s">
        <v>105</v>
      </c>
      <c r="C255" s="281"/>
      <c r="D255" s="267" t="s">
        <v>106</v>
      </c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8" t="s">
        <v>51</v>
      </c>
      <c r="Q255" s="269"/>
      <c r="R255" s="269"/>
      <c r="S255" s="269"/>
      <c r="T255" s="269"/>
      <c r="U255" s="270"/>
    </row>
    <row r="256" spans="2:21" ht="15.75" x14ac:dyDescent="0.25">
      <c r="B256" s="282"/>
      <c r="C256" s="283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8" t="s">
        <v>107</v>
      </c>
      <c r="Q256" s="269"/>
      <c r="R256" s="270"/>
      <c r="S256" s="268" t="s">
        <v>108</v>
      </c>
      <c r="T256" s="269"/>
      <c r="U256" s="270"/>
    </row>
    <row r="257" spans="2:21" ht="15.75" x14ac:dyDescent="0.25">
      <c r="B257" s="276"/>
      <c r="C257" s="277"/>
      <c r="D257" s="278">
        <v>44378</v>
      </c>
      <c r="E257" s="279"/>
      <c r="F257" s="279"/>
      <c r="G257" s="66"/>
      <c r="H257" s="66"/>
      <c r="I257" s="66"/>
      <c r="J257" s="66"/>
      <c r="K257" s="66"/>
      <c r="L257" s="66"/>
      <c r="M257" s="66"/>
      <c r="N257" s="66"/>
      <c r="O257" s="67"/>
      <c r="P257" s="262"/>
      <c r="Q257" s="263"/>
      <c r="R257" s="264"/>
      <c r="S257" s="262"/>
      <c r="T257" s="263"/>
      <c r="U257" s="264"/>
    </row>
    <row r="258" spans="2:21" ht="15.75" x14ac:dyDescent="0.25">
      <c r="B258" s="271">
        <v>512100</v>
      </c>
      <c r="C258" s="272"/>
      <c r="D258" s="68" t="s">
        <v>188</v>
      </c>
      <c r="E258" s="69"/>
      <c r="F258" s="69"/>
      <c r="G258" s="48"/>
      <c r="H258" s="48"/>
      <c r="I258" s="48"/>
      <c r="J258" s="48"/>
      <c r="K258" s="48"/>
      <c r="L258" s="48"/>
      <c r="M258" s="48"/>
      <c r="N258" s="48"/>
      <c r="O258" s="70"/>
      <c r="P258" s="254">
        <v>1000000</v>
      </c>
      <c r="Q258" s="255"/>
      <c r="R258" s="256"/>
      <c r="S258" s="254"/>
      <c r="T258" s="255"/>
      <c r="U258" s="256"/>
    </row>
    <row r="259" spans="2:21" ht="15.75" x14ac:dyDescent="0.25">
      <c r="B259" s="271">
        <v>412100</v>
      </c>
      <c r="C259" s="272"/>
      <c r="D259" s="68"/>
      <c r="E259" s="69"/>
      <c r="F259" s="69"/>
      <c r="G259" s="48"/>
      <c r="H259" s="48" t="s">
        <v>186</v>
      </c>
      <c r="I259" s="48"/>
      <c r="J259" s="48"/>
      <c r="K259" s="48"/>
      <c r="L259" s="48"/>
      <c r="M259" s="48"/>
      <c r="N259" s="48"/>
      <c r="O259" s="70"/>
      <c r="P259" s="254"/>
      <c r="Q259" s="255"/>
      <c r="R259" s="256"/>
      <c r="S259" s="254">
        <v>1000000</v>
      </c>
      <c r="T259" s="255"/>
      <c r="U259" s="256"/>
    </row>
    <row r="260" spans="2:21" ht="15.75" x14ac:dyDescent="0.25">
      <c r="B260" s="71"/>
      <c r="C260" s="72"/>
      <c r="D260" s="73" t="s">
        <v>189</v>
      </c>
      <c r="E260" s="74"/>
      <c r="F260" s="74"/>
      <c r="G260" s="75"/>
      <c r="H260" s="75"/>
      <c r="I260" s="75"/>
      <c r="J260" s="75"/>
      <c r="K260" s="75"/>
      <c r="L260" s="75"/>
      <c r="M260" s="75"/>
      <c r="N260" s="75"/>
      <c r="O260" s="76"/>
      <c r="P260" s="257"/>
      <c r="Q260" s="258"/>
      <c r="R260" s="259"/>
      <c r="S260" s="257"/>
      <c r="T260" s="258"/>
      <c r="U260" s="259"/>
    </row>
    <row r="261" spans="2:21" ht="15.75" x14ac:dyDescent="0.25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265">
        <f>SUM(P257:R260)</f>
        <v>1000000</v>
      </c>
      <c r="Q261" s="265"/>
      <c r="R261" s="265"/>
      <c r="S261" s="265">
        <f>SUM(S257:U260)</f>
        <v>1000000</v>
      </c>
      <c r="T261" s="265"/>
      <c r="U261" s="265"/>
    </row>
    <row r="262" spans="2:21" ht="15.75" x14ac:dyDescent="0.25">
      <c r="B262" s="280" t="s">
        <v>105</v>
      </c>
      <c r="C262" s="281"/>
      <c r="D262" s="267" t="s">
        <v>106</v>
      </c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8" t="s">
        <v>51</v>
      </c>
      <c r="Q262" s="269"/>
      <c r="R262" s="269"/>
      <c r="S262" s="269"/>
      <c r="T262" s="269"/>
      <c r="U262" s="270"/>
    </row>
    <row r="263" spans="2:21" ht="15.75" x14ac:dyDescent="0.25">
      <c r="B263" s="282"/>
      <c r="C263" s="283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8" t="s">
        <v>107</v>
      </c>
      <c r="Q263" s="269"/>
      <c r="R263" s="270"/>
      <c r="S263" s="268" t="s">
        <v>108</v>
      </c>
      <c r="T263" s="269"/>
      <c r="U263" s="270"/>
    </row>
    <row r="264" spans="2:21" ht="15.75" x14ac:dyDescent="0.25">
      <c r="B264" s="276"/>
      <c r="C264" s="277"/>
      <c r="D264" s="278">
        <v>44377</v>
      </c>
      <c r="E264" s="279"/>
      <c r="F264" s="279"/>
      <c r="G264" s="66"/>
      <c r="H264" s="66"/>
      <c r="I264" s="66"/>
      <c r="J264" s="66"/>
      <c r="K264" s="66"/>
      <c r="L264" s="66"/>
      <c r="M264" s="66"/>
      <c r="N264" s="66"/>
      <c r="O264" s="67"/>
      <c r="P264" s="262"/>
      <c r="Q264" s="263"/>
      <c r="R264" s="264"/>
      <c r="S264" s="262"/>
      <c r="T264" s="263"/>
      <c r="U264" s="264"/>
    </row>
    <row r="265" spans="2:21" ht="15.75" x14ac:dyDescent="0.25">
      <c r="B265" s="271">
        <v>521100</v>
      </c>
      <c r="C265" s="272"/>
      <c r="D265" s="68" t="s">
        <v>112</v>
      </c>
      <c r="E265" s="69"/>
      <c r="F265" s="69"/>
      <c r="G265" s="48"/>
      <c r="H265" s="48"/>
      <c r="I265" s="48"/>
      <c r="J265" s="48"/>
      <c r="K265" s="48"/>
      <c r="L265" s="48"/>
      <c r="M265" s="48"/>
      <c r="N265" s="48"/>
      <c r="O265" s="70"/>
      <c r="P265" s="254">
        <f>1000000-10000</f>
        <v>990000</v>
      </c>
      <c r="Q265" s="255"/>
      <c r="R265" s="256"/>
      <c r="S265" s="254"/>
      <c r="T265" s="255"/>
      <c r="U265" s="256"/>
    </row>
    <row r="266" spans="2:21" ht="15.75" x14ac:dyDescent="0.25">
      <c r="B266" s="271">
        <v>631200</v>
      </c>
      <c r="C266" s="272"/>
      <c r="D266" s="68" t="s">
        <v>190</v>
      </c>
      <c r="E266" s="69"/>
      <c r="F266" s="69"/>
      <c r="G266" s="48"/>
      <c r="H266" s="69"/>
      <c r="I266" s="48"/>
      <c r="J266" s="48"/>
      <c r="K266" s="48"/>
      <c r="L266" s="48"/>
      <c r="M266" s="48"/>
      <c r="N266" s="48"/>
      <c r="O266" s="70"/>
      <c r="P266" s="254">
        <f>10000/1.1</f>
        <v>9090.9090909090901</v>
      </c>
      <c r="Q266" s="255"/>
      <c r="R266" s="256"/>
      <c r="S266" s="254"/>
      <c r="T266" s="255"/>
      <c r="U266" s="256"/>
    </row>
    <row r="267" spans="2:21" ht="15.75" x14ac:dyDescent="0.25">
      <c r="B267" s="271">
        <v>445400</v>
      </c>
      <c r="C267" s="272"/>
      <c r="D267" s="68" t="s">
        <v>191</v>
      </c>
      <c r="E267" s="69"/>
      <c r="F267" s="69"/>
      <c r="G267" s="48"/>
      <c r="H267" s="69"/>
      <c r="I267" s="48"/>
      <c r="J267" s="48"/>
      <c r="K267" s="48"/>
      <c r="L267" s="48"/>
      <c r="M267" s="48"/>
      <c r="N267" s="48"/>
      <c r="O267" s="70"/>
      <c r="P267" s="254">
        <f>P266*10%</f>
        <v>909.09090909090901</v>
      </c>
      <c r="Q267" s="255"/>
      <c r="R267" s="256"/>
      <c r="S267" s="110"/>
      <c r="T267" s="111"/>
      <c r="U267" s="112"/>
    </row>
    <row r="268" spans="2:21" ht="15.75" x14ac:dyDescent="0.25">
      <c r="B268" s="271">
        <v>512100</v>
      </c>
      <c r="C268" s="272"/>
      <c r="D268" s="68"/>
      <c r="E268" s="69"/>
      <c r="F268" s="69"/>
      <c r="G268" s="48"/>
      <c r="H268" s="69" t="s">
        <v>115</v>
      </c>
      <c r="I268" s="48"/>
      <c r="J268" s="48"/>
      <c r="K268" s="48"/>
      <c r="L268" s="48"/>
      <c r="M268" s="48"/>
      <c r="N268" s="48"/>
      <c r="O268" s="70"/>
      <c r="P268" s="110"/>
      <c r="Q268" s="111"/>
      <c r="R268" s="112"/>
      <c r="S268" s="273">
        <v>1000000</v>
      </c>
      <c r="T268" s="274"/>
      <c r="U268" s="275"/>
    </row>
    <row r="269" spans="2:21" ht="15.75" x14ac:dyDescent="0.25">
      <c r="B269" s="71"/>
      <c r="C269" s="72"/>
      <c r="D269" s="73" t="s">
        <v>183</v>
      </c>
      <c r="E269" s="74"/>
      <c r="F269" s="74"/>
      <c r="G269" s="75"/>
      <c r="H269" s="75"/>
      <c r="I269" s="75"/>
      <c r="J269" s="75"/>
      <c r="K269" s="75"/>
      <c r="L269" s="75"/>
      <c r="M269" s="75"/>
      <c r="N269" s="75"/>
      <c r="O269" s="76"/>
      <c r="P269" s="257"/>
      <c r="Q269" s="258"/>
      <c r="R269" s="259"/>
      <c r="S269" s="257"/>
      <c r="T269" s="258"/>
      <c r="U269" s="259"/>
    </row>
    <row r="270" spans="2:21" ht="15.75" x14ac:dyDescent="0.25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265">
        <f>SUM(P264:R269)</f>
        <v>1000000</v>
      </c>
      <c r="Q270" s="265"/>
      <c r="R270" s="265"/>
      <c r="S270" s="265">
        <f>SUM(S264:U269)</f>
        <v>1000000</v>
      </c>
      <c r="T270" s="265"/>
      <c r="U270" s="265"/>
    </row>
    <row r="271" spans="2:21" ht="15.75" x14ac:dyDescent="0.25">
      <c r="B271" s="64" t="s">
        <v>122</v>
      </c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</row>
    <row r="272" spans="2:21" ht="15.75" x14ac:dyDescent="0.25">
      <c r="B272" s="266" t="s">
        <v>105</v>
      </c>
      <c r="C272" s="266"/>
      <c r="D272" s="267" t="s">
        <v>106</v>
      </c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8" t="s">
        <v>51</v>
      </c>
      <c r="Q272" s="269"/>
      <c r="R272" s="269"/>
      <c r="S272" s="269"/>
      <c r="T272" s="269"/>
      <c r="U272" s="270"/>
    </row>
    <row r="273" spans="2:21" ht="15.75" x14ac:dyDescent="0.25">
      <c r="B273" s="266"/>
      <c r="C273" s="266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8" t="s">
        <v>107</v>
      </c>
      <c r="Q273" s="269"/>
      <c r="R273" s="270"/>
      <c r="S273" s="268" t="s">
        <v>108</v>
      </c>
      <c r="T273" s="269"/>
      <c r="U273" s="270"/>
    </row>
    <row r="274" spans="2:21" ht="15.75" x14ac:dyDescent="0.25">
      <c r="B274" s="84"/>
      <c r="C274" s="85"/>
      <c r="D274" s="260">
        <f>+D250</f>
        <v>44378</v>
      </c>
      <c r="E274" s="261"/>
      <c r="F274" s="261"/>
      <c r="G274" s="86"/>
      <c r="H274" s="86"/>
      <c r="I274" s="86"/>
      <c r="J274" s="86"/>
      <c r="K274" s="86"/>
      <c r="L274" s="86"/>
      <c r="M274" s="86"/>
      <c r="N274" s="86"/>
      <c r="O274" s="87"/>
      <c r="P274" s="262"/>
      <c r="Q274" s="263"/>
      <c r="R274" s="264"/>
      <c r="S274" s="262"/>
      <c r="T274" s="263"/>
      <c r="U274" s="264"/>
    </row>
    <row r="275" spans="2:21" ht="15.75" x14ac:dyDescent="0.25">
      <c r="B275" s="252">
        <v>401100</v>
      </c>
      <c r="C275" s="253"/>
      <c r="D275" s="88" t="s">
        <v>141</v>
      </c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90"/>
      <c r="P275" s="254">
        <v>1000000</v>
      </c>
      <c r="Q275" s="255"/>
      <c r="R275" s="256"/>
      <c r="S275" s="254"/>
      <c r="T275" s="255"/>
      <c r="U275" s="256"/>
    </row>
    <row r="276" spans="2:21" ht="15.75" x14ac:dyDescent="0.25">
      <c r="B276" s="252">
        <v>402100</v>
      </c>
      <c r="C276" s="253"/>
      <c r="D276" s="91"/>
      <c r="E276" s="89"/>
      <c r="F276" s="89"/>
      <c r="G276" s="89"/>
      <c r="H276" s="92" t="s">
        <v>192</v>
      </c>
      <c r="I276" s="89"/>
      <c r="J276" s="89"/>
      <c r="K276" s="89"/>
      <c r="L276" s="89"/>
      <c r="M276" s="89"/>
      <c r="N276" s="89"/>
      <c r="O276" s="90"/>
      <c r="P276" s="254"/>
      <c r="Q276" s="255"/>
      <c r="R276" s="256"/>
      <c r="S276" s="254">
        <v>1000000</v>
      </c>
      <c r="T276" s="255"/>
      <c r="U276" s="256"/>
    </row>
    <row r="277" spans="2:21" ht="15.75" x14ac:dyDescent="0.25">
      <c r="B277" s="95"/>
      <c r="C277" s="96"/>
      <c r="D277" s="73" t="s">
        <v>193</v>
      </c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9"/>
      <c r="P277" s="257"/>
      <c r="Q277" s="258"/>
      <c r="R277" s="259"/>
      <c r="S277" s="257"/>
      <c r="T277" s="258"/>
      <c r="U277" s="259"/>
    </row>
  </sheetData>
  <mergeCells count="617">
    <mergeCell ref="B4:D4"/>
    <mergeCell ref="I5:K5"/>
    <mergeCell ref="L5:N5"/>
    <mergeCell ref="O5:Q5"/>
    <mergeCell ref="R5:T5"/>
    <mergeCell ref="I6:K6"/>
    <mergeCell ref="L6:N6"/>
    <mergeCell ref="O6:Q6"/>
    <mergeCell ref="R6:T6"/>
    <mergeCell ref="I7:K7"/>
    <mergeCell ref="L7:N7"/>
    <mergeCell ref="R7:T7"/>
    <mergeCell ref="G2:I2"/>
    <mergeCell ref="L2:N4"/>
    <mergeCell ref="O2:Q4"/>
    <mergeCell ref="R2:T4"/>
    <mergeCell ref="I10:K10"/>
    <mergeCell ref="L10:N10"/>
    <mergeCell ref="O10:Q10"/>
    <mergeCell ref="R10:T10"/>
    <mergeCell ref="I11:K11"/>
    <mergeCell ref="L11:N11"/>
    <mergeCell ref="O11:Q11"/>
    <mergeCell ref="R11:T11"/>
    <mergeCell ref="I8:K8"/>
    <mergeCell ref="L8:N8"/>
    <mergeCell ref="O8:Q8"/>
    <mergeCell ref="R8:T8"/>
    <mergeCell ref="I9:K9"/>
    <mergeCell ref="L9:N9"/>
    <mergeCell ref="O9:Q9"/>
    <mergeCell ref="R9:T9"/>
    <mergeCell ref="I14:K14"/>
    <mergeCell ref="L14:N14"/>
    <mergeCell ref="O14:Q14"/>
    <mergeCell ref="R14:T14"/>
    <mergeCell ref="I15:K15"/>
    <mergeCell ref="L15:N15"/>
    <mergeCell ref="O15:Q15"/>
    <mergeCell ref="R15:T15"/>
    <mergeCell ref="I12:K12"/>
    <mergeCell ref="L12:N12"/>
    <mergeCell ref="O12:Q12"/>
    <mergeCell ref="R12:T12"/>
    <mergeCell ref="I13:K13"/>
    <mergeCell ref="L13:N13"/>
    <mergeCell ref="O13:Q13"/>
    <mergeCell ref="R13:T13"/>
    <mergeCell ref="I18:K18"/>
    <mergeCell ref="L18:N18"/>
    <mergeCell ref="O18:Q18"/>
    <mergeCell ref="R18:T18"/>
    <mergeCell ref="I19:K19"/>
    <mergeCell ref="L19:N19"/>
    <mergeCell ref="O19:Q19"/>
    <mergeCell ref="R19:T19"/>
    <mergeCell ref="I16:K16"/>
    <mergeCell ref="L16:N16"/>
    <mergeCell ref="O16:Q16"/>
    <mergeCell ref="R16:T16"/>
    <mergeCell ref="I17:K17"/>
    <mergeCell ref="L17:N17"/>
    <mergeCell ref="O17:Q17"/>
    <mergeCell ref="R17:T17"/>
    <mergeCell ref="I22:K22"/>
    <mergeCell ref="L22:N22"/>
    <mergeCell ref="O22:Q22"/>
    <mergeCell ref="R22:T22"/>
    <mergeCell ref="I23:K23"/>
    <mergeCell ref="L23:N23"/>
    <mergeCell ref="O23:Q23"/>
    <mergeCell ref="R23:T23"/>
    <mergeCell ref="I20:K20"/>
    <mergeCell ref="L20:N20"/>
    <mergeCell ref="O20:Q20"/>
    <mergeCell ref="R20:T20"/>
    <mergeCell ref="I21:K21"/>
    <mergeCell ref="L21:N21"/>
    <mergeCell ref="O21:Q21"/>
    <mergeCell ref="R21:T21"/>
    <mergeCell ref="I24:K24"/>
    <mergeCell ref="L24:N24"/>
    <mergeCell ref="O24:Q24"/>
    <mergeCell ref="R24:T24"/>
    <mergeCell ref="B25:H25"/>
    <mergeCell ref="I25:K25"/>
    <mergeCell ref="L25:N25"/>
    <mergeCell ref="O25:Q25"/>
    <mergeCell ref="R25:T25"/>
    <mergeCell ref="B31:C31"/>
    <mergeCell ref="P31:R31"/>
    <mergeCell ref="S31:U31"/>
    <mergeCell ref="B32:C32"/>
    <mergeCell ref="P32:R32"/>
    <mergeCell ref="S32:U32"/>
    <mergeCell ref="B28:C29"/>
    <mergeCell ref="D28:O29"/>
    <mergeCell ref="P28:U28"/>
    <mergeCell ref="P29:R29"/>
    <mergeCell ref="S29:U29"/>
    <mergeCell ref="B30:C30"/>
    <mergeCell ref="D30:F30"/>
    <mergeCell ref="P30:R30"/>
    <mergeCell ref="S30:U30"/>
    <mergeCell ref="B35:C35"/>
    <mergeCell ref="P35:R35"/>
    <mergeCell ref="S35:U35"/>
    <mergeCell ref="B36:C36"/>
    <mergeCell ref="P36:R36"/>
    <mergeCell ref="S36:U36"/>
    <mergeCell ref="P33:R33"/>
    <mergeCell ref="S33:U33"/>
    <mergeCell ref="B34:C34"/>
    <mergeCell ref="D34:F34"/>
    <mergeCell ref="P34:R34"/>
    <mergeCell ref="S34:U34"/>
    <mergeCell ref="B39:C39"/>
    <mergeCell ref="P39:R39"/>
    <mergeCell ref="S39:U39"/>
    <mergeCell ref="D40:F40"/>
    <mergeCell ref="P40:R40"/>
    <mergeCell ref="S40:U40"/>
    <mergeCell ref="B37:C37"/>
    <mergeCell ref="P37:R37"/>
    <mergeCell ref="S37:U37"/>
    <mergeCell ref="B38:C38"/>
    <mergeCell ref="D38:F38"/>
    <mergeCell ref="P38:R38"/>
    <mergeCell ref="S38:U38"/>
    <mergeCell ref="B41:C41"/>
    <mergeCell ref="P41:R41"/>
    <mergeCell ref="S41:U41"/>
    <mergeCell ref="B42:C42"/>
    <mergeCell ref="I42:J43"/>
    <mergeCell ref="P42:R42"/>
    <mergeCell ref="S42:U42"/>
    <mergeCell ref="B43:C43"/>
    <mergeCell ref="P43:R43"/>
    <mergeCell ref="S43:U43"/>
    <mergeCell ref="B46:C46"/>
    <mergeCell ref="P46:R46"/>
    <mergeCell ref="S46:U46"/>
    <mergeCell ref="B47:C47"/>
    <mergeCell ref="P47:R47"/>
    <mergeCell ref="S47:U47"/>
    <mergeCell ref="B44:C44"/>
    <mergeCell ref="P44:R44"/>
    <mergeCell ref="S44:U44"/>
    <mergeCell ref="B45:C45"/>
    <mergeCell ref="P45:R45"/>
    <mergeCell ref="S45:U45"/>
    <mergeCell ref="D53:F53"/>
    <mergeCell ref="P53:R53"/>
    <mergeCell ref="S53:U53"/>
    <mergeCell ref="B54:C54"/>
    <mergeCell ref="P54:R54"/>
    <mergeCell ref="S54:U54"/>
    <mergeCell ref="P48:R48"/>
    <mergeCell ref="S48:U48"/>
    <mergeCell ref="P49:R49"/>
    <mergeCell ref="S49:U49"/>
    <mergeCell ref="B51:C52"/>
    <mergeCell ref="D51:O52"/>
    <mergeCell ref="P51:U51"/>
    <mergeCell ref="P52:R52"/>
    <mergeCell ref="S52:U52"/>
    <mergeCell ref="P57:R57"/>
    <mergeCell ref="S57:U57"/>
    <mergeCell ref="B58:C58"/>
    <mergeCell ref="D58:F58"/>
    <mergeCell ref="P58:R58"/>
    <mergeCell ref="S58:U58"/>
    <mergeCell ref="B55:C55"/>
    <mergeCell ref="P55:R55"/>
    <mergeCell ref="S55:U55"/>
    <mergeCell ref="B56:C56"/>
    <mergeCell ref="P56:R56"/>
    <mergeCell ref="S56:U56"/>
    <mergeCell ref="B61:C61"/>
    <mergeCell ref="P61:R61"/>
    <mergeCell ref="S61:U61"/>
    <mergeCell ref="B62:C62"/>
    <mergeCell ref="P62:R62"/>
    <mergeCell ref="S62:U62"/>
    <mergeCell ref="B59:C59"/>
    <mergeCell ref="P59:R59"/>
    <mergeCell ref="S59:U59"/>
    <mergeCell ref="B60:C60"/>
    <mergeCell ref="P60:R60"/>
    <mergeCell ref="S60:U60"/>
    <mergeCell ref="B65:C65"/>
    <mergeCell ref="P65:R65"/>
    <mergeCell ref="S65:U65"/>
    <mergeCell ref="B66:C66"/>
    <mergeCell ref="P66:R66"/>
    <mergeCell ref="S66:U66"/>
    <mergeCell ref="B63:C63"/>
    <mergeCell ref="P63:R63"/>
    <mergeCell ref="S63:U63"/>
    <mergeCell ref="B64:C64"/>
    <mergeCell ref="P64:R64"/>
    <mergeCell ref="S64:U64"/>
    <mergeCell ref="W72:Y72"/>
    <mergeCell ref="G74:I74"/>
    <mergeCell ref="B69:C69"/>
    <mergeCell ref="P69:R69"/>
    <mergeCell ref="S69:U69"/>
    <mergeCell ref="B70:C70"/>
    <mergeCell ref="P70:R70"/>
    <mergeCell ref="S70:U70"/>
    <mergeCell ref="B67:C67"/>
    <mergeCell ref="P67:R67"/>
    <mergeCell ref="S67:U67"/>
    <mergeCell ref="B68:C68"/>
    <mergeCell ref="P68:R68"/>
    <mergeCell ref="S68:U68"/>
    <mergeCell ref="B76:D76"/>
    <mergeCell ref="I77:K77"/>
    <mergeCell ref="I78:K78"/>
    <mergeCell ref="I79:K79"/>
    <mergeCell ref="I80:K80"/>
    <mergeCell ref="B81:H81"/>
    <mergeCell ref="I81:K81"/>
    <mergeCell ref="P71:R71"/>
    <mergeCell ref="S71:U71"/>
    <mergeCell ref="P72:R72"/>
    <mergeCell ref="S72:U72"/>
    <mergeCell ref="B87:C87"/>
    <mergeCell ref="P87:R87"/>
    <mergeCell ref="S87:U87"/>
    <mergeCell ref="B88:C88"/>
    <mergeCell ref="P88:R88"/>
    <mergeCell ref="S88:U88"/>
    <mergeCell ref="B84:C85"/>
    <mergeCell ref="D84:O85"/>
    <mergeCell ref="P84:U84"/>
    <mergeCell ref="P85:R85"/>
    <mergeCell ref="S85:U85"/>
    <mergeCell ref="B86:C86"/>
    <mergeCell ref="D86:F86"/>
    <mergeCell ref="P86:R86"/>
    <mergeCell ref="S86:U86"/>
    <mergeCell ref="D94:F94"/>
    <mergeCell ref="P94:R94"/>
    <mergeCell ref="S94:U94"/>
    <mergeCell ref="B95:C95"/>
    <mergeCell ref="P95:R95"/>
    <mergeCell ref="S95:U95"/>
    <mergeCell ref="P89:R89"/>
    <mergeCell ref="S89:U89"/>
    <mergeCell ref="P90:R90"/>
    <mergeCell ref="S90:U90"/>
    <mergeCell ref="B92:C93"/>
    <mergeCell ref="D92:O93"/>
    <mergeCell ref="P92:U92"/>
    <mergeCell ref="P93:R93"/>
    <mergeCell ref="S93:U93"/>
    <mergeCell ref="W98:Y98"/>
    <mergeCell ref="G100:I100"/>
    <mergeCell ref="B102:D102"/>
    <mergeCell ref="I103:K103"/>
    <mergeCell ref="I104:K104"/>
    <mergeCell ref="I105:K105"/>
    <mergeCell ref="B96:C96"/>
    <mergeCell ref="P96:R96"/>
    <mergeCell ref="S96:U96"/>
    <mergeCell ref="P97:R97"/>
    <mergeCell ref="S97:U97"/>
    <mergeCell ref="P98:R98"/>
    <mergeCell ref="S98:U98"/>
    <mergeCell ref="I112:K112"/>
    <mergeCell ref="I113:K113"/>
    <mergeCell ref="I114:K114"/>
    <mergeCell ref="I115:K115"/>
    <mergeCell ref="I116:K116"/>
    <mergeCell ref="I117:K117"/>
    <mergeCell ref="I106:K106"/>
    <mergeCell ref="I107:K107"/>
    <mergeCell ref="I108:K108"/>
    <mergeCell ref="I109:K109"/>
    <mergeCell ref="I110:K110"/>
    <mergeCell ref="I111:K111"/>
    <mergeCell ref="B126:C127"/>
    <mergeCell ref="D126:O127"/>
    <mergeCell ref="P126:U126"/>
    <mergeCell ref="P127:R127"/>
    <mergeCell ref="S127:U127"/>
    <mergeCell ref="D128:F128"/>
    <mergeCell ref="P128:R128"/>
    <mergeCell ref="S128:U128"/>
    <mergeCell ref="I118:K118"/>
    <mergeCell ref="I119:K119"/>
    <mergeCell ref="I120:K120"/>
    <mergeCell ref="I121:K121"/>
    <mergeCell ref="I122:K122"/>
    <mergeCell ref="B123:H123"/>
    <mergeCell ref="I123:K123"/>
    <mergeCell ref="B131:C131"/>
    <mergeCell ref="P131:R131"/>
    <mergeCell ref="S131:U131"/>
    <mergeCell ref="B132:C132"/>
    <mergeCell ref="P132:R132"/>
    <mergeCell ref="S132:U132"/>
    <mergeCell ref="B129:C129"/>
    <mergeCell ref="P129:R129"/>
    <mergeCell ref="S129:U129"/>
    <mergeCell ref="B130:C130"/>
    <mergeCell ref="P130:R130"/>
    <mergeCell ref="S130:U130"/>
    <mergeCell ref="B135:C135"/>
    <mergeCell ref="P135:R135"/>
    <mergeCell ref="S135:U135"/>
    <mergeCell ref="P136:R136"/>
    <mergeCell ref="S136:U136"/>
    <mergeCell ref="P137:R137"/>
    <mergeCell ref="S137:U137"/>
    <mergeCell ref="B133:C133"/>
    <mergeCell ref="P133:R133"/>
    <mergeCell ref="S133:U133"/>
    <mergeCell ref="B134:C134"/>
    <mergeCell ref="P134:R134"/>
    <mergeCell ref="S134:U134"/>
    <mergeCell ref="B139:C140"/>
    <mergeCell ref="D139:O140"/>
    <mergeCell ref="P139:U139"/>
    <mergeCell ref="P140:R140"/>
    <mergeCell ref="S140:U140"/>
    <mergeCell ref="B141:C141"/>
    <mergeCell ref="D141:F141"/>
    <mergeCell ref="P141:R141"/>
    <mergeCell ref="S141:U141"/>
    <mergeCell ref="B144:C144"/>
    <mergeCell ref="P144:R144"/>
    <mergeCell ref="S144:U144"/>
    <mergeCell ref="B145:C145"/>
    <mergeCell ref="P145:R145"/>
    <mergeCell ref="S145:U145"/>
    <mergeCell ref="B142:C142"/>
    <mergeCell ref="P142:R142"/>
    <mergeCell ref="S142:U142"/>
    <mergeCell ref="B143:C143"/>
    <mergeCell ref="P143:R143"/>
    <mergeCell ref="S143:U143"/>
    <mergeCell ref="P148:R148"/>
    <mergeCell ref="S148:U148"/>
    <mergeCell ref="P149:R149"/>
    <mergeCell ref="S149:U149"/>
    <mergeCell ref="W149:Y149"/>
    <mergeCell ref="G151:I151"/>
    <mergeCell ref="B146:C146"/>
    <mergeCell ref="P146:R146"/>
    <mergeCell ref="S146:U146"/>
    <mergeCell ref="B147:C147"/>
    <mergeCell ref="P147:R147"/>
    <mergeCell ref="S147:U147"/>
    <mergeCell ref="I162:K162"/>
    <mergeCell ref="I163:K163"/>
    <mergeCell ref="I164:K164"/>
    <mergeCell ref="I165:K165"/>
    <mergeCell ref="B166:H166"/>
    <mergeCell ref="I166:K166"/>
    <mergeCell ref="B153:D153"/>
    <mergeCell ref="I154:K154"/>
    <mergeCell ref="I155:K155"/>
    <mergeCell ref="I156:K156"/>
    <mergeCell ref="I157:K157"/>
    <mergeCell ref="I161:K161"/>
    <mergeCell ref="B172:C172"/>
    <mergeCell ref="P172:R172"/>
    <mergeCell ref="S172:U172"/>
    <mergeCell ref="B173:C173"/>
    <mergeCell ref="P173:R173"/>
    <mergeCell ref="S173:U173"/>
    <mergeCell ref="B169:C170"/>
    <mergeCell ref="D169:O170"/>
    <mergeCell ref="P169:U169"/>
    <mergeCell ref="P170:R170"/>
    <mergeCell ref="S170:U170"/>
    <mergeCell ref="B171:C171"/>
    <mergeCell ref="D171:F171"/>
    <mergeCell ref="P171:R171"/>
    <mergeCell ref="S171:U171"/>
    <mergeCell ref="P177:R177"/>
    <mergeCell ref="S177:U177"/>
    <mergeCell ref="B179:C180"/>
    <mergeCell ref="D179:O180"/>
    <mergeCell ref="P179:U179"/>
    <mergeCell ref="P180:R180"/>
    <mergeCell ref="S180:U180"/>
    <mergeCell ref="B174:C174"/>
    <mergeCell ref="S174:U174"/>
    <mergeCell ref="B175:C175"/>
    <mergeCell ref="S175:U175"/>
    <mergeCell ref="P176:R176"/>
    <mergeCell ref="S176:U176"/>
    <mergeCell ref="B183:C183"/>
    <mergeCell ref="P183:R183"/>
    <mergeCell ref="B184:C184"/>
    <mergeCell ref="P184:R184"/>
    <mergeCell ref="B185:C185"/>
    <mergeCell ref="P185:R185"/>
    <mergeCell ref="D181:F181"/>
    <mergeCell ref="P181:R181"/>
    <mergeCell ref="S181:U181"/>
    <mergeCell ref="B182:C182"/>
    <mergeCell ref="P182:R182"/>
    <mergeCell ref="S182:U182"/>
    <mergeCell ref="W188:Y188"/>
    <mergeCell ref="G190:I190"/>
    <mergeCell ref="B192:D192"/>
    <mergeCell ref="B193:D193"/>
    <mergeCell ref="I193:K193"/>
    <mergeCell ref="B194:D194"/>
    <mergeCell ref="I194:K194"/>
    <mergeCell ref="B186:C186"/>
    <mergeCell ref="P186:R186"/>
    <mergeCell ref="S186:U186"/>
    <mergeCell ref="P187:R187"/>
    <mergeCell ref="S187:U187"/>
    <mergeCell ref="P188:R188"/>
    <mergeCell ref="S188:U188"/>
    <mergeCell ref="L197:N197"/>
    <mergeCell ref="B200:C201"/>
    <mergeCell ref="D200:O201"/>
    <mergeCell ref="P200:U200"/>
    <mergeCell ref="P201:R201"/>
    <mergeCell ref="S201:U201"/>
    <mergeCell ref="B195:D195"/>
    <mergeCell ref="I195:K195"/>
    <mergeCell ref="B196:D196"/>
    <mergeCell ref="I196:K196"/>
    <mergeCell ref="B197:H197"/>
    <mergeCell ref="I197:K197"/>
    <mergeCell ref="B204:C204"/>
    <mergeCell ref="P204:R204"/>
    <mergeCell ref="S204:U204"/>
    <mergeCell ref="P205:R205"/>
    <mergeCell ref="S205:U205"/>
    <mergeCell ref="P206:R206"/>
    <mergeCell ref="S206:U206"/>
    <mergeCell ref="B202:C202"/>
    <mergeCell ref="D202:F202"/>
    <mergeCell ref="P202:R202"/>
    <mergeCell ref="S202:U202"/>
    <mergeCell ref="B203:C203"/>
    <mergeCell ref="P203:R203"/>
    <mergeCell ref="S203:U203"/>
    <mergeCell ref="B211:C211"/>
    <mergeCell ref="P211:R211"/>
    <mergeCell ref="S211:U211"/>
    <mergeCell ref="B212:C212"/>
    <mergeCell ref="P212:R212"/>
    <mergeCell ref="S212:U212"/>
    <mergeCell ref="B208:C209"/>
    <mergeCell ref="D208:O209"/>
    <mergeCell ref="P208:U208"/>
    <mergeCell ref="P209:R209"/>
    <mergeCell ref="S209:U209"/>
    <mergeCell ref="D210:F210"/>
    <mergeCell ref="P210:R210"/>
    <mergeCell ref="S210:U210"/>
    <mergeCell ref="P213:R213"/>
    <mergeCell ref="S213:U213"/>
    <mergeCell ref="P214:R214"/>
    <mergeCell ref="S214:U214"/>
    <mergeCell ref="B217:C218"/>
    <mergeCell ref="D217:O218"/>
    <mergeCell ref="P217:U217"/>
    <mergeCell ref="P218:R218"/>
    <mergeCell ref="S218:U218"/>
    <mergeCell ref="B221:C221"/>
    <mergeCell ref="P221:R221"/>
    <mergeCell ref="S221:U221"/>
    <mergeCell ref="P222:R222"/>
    <mergeCell ref="S222:U222"/>
    <mergeCell ref="P223:R223"/>
    <mergeCell ref="S223:U223"/>
    <mergeCell ref="B219:C219"/>
    <mergeCell ref="D219:F219"/>
    <mergeCell ref="P219:R219"/>
    <mergeCell ref="S219:U219"/>
    <mergeCell ref="B220:C220"/>
    <mergeCell ref="P220:R220"/>
    <mergeCell ref="S220:U220"/>
    <mergeCell ref="B227:C227"/>
    <mergeCell ref="P227:R227"/>
    <mergeCell ref="S227:U227"/>
    <mergeCell ref="B228:C228"/>
    <mergeCell ref="P228:R228"/>
    <mergeCell ref="S228:U228"/>
    <mergeCell ref="B224:C225"/>
    <mergeCell ref="D224:O225"/>
    <mergeCell ref="P224:U224"/>
    <mergeCell ref="P225:R225"/>
    <mergeCell ref="S225:U225"/>
    <mergeCell ref="B226:C226"/>
    <mergeCell ref="D226:F226"/>
    <mergeCell ref="P226:R226"/>
    <mergeCell ref="S226:U226"/>
    <mergeCell ref="P229:R229"/>
    <mergeCell ref="S229:U229"/>
    <mergeCell ref="P230:R230"/>
    <mergeCell ref="S230:U230"/>
    <mergeCell ref="B231:C232"/>
    <mergeCell ref="D231:O232"/>
    <mergeCell ref="P231:U231"/>
    <mergeCell ref="P232:R232"/>
    <mergeCell ref="S232:U232"/>
    <mergeCell ref="B235:C235"/>
    <mergeCell ref="P235:R235"/>
    <mergeCell ref="S235:U235"/>
    <mergeCell ref="P236:R236"/>
    <mergeCell ref="S236:U236"/>
    <mergeCell ref="P237:R237"/>
    <mergeCell ref="S237:U237"/>
    <mergeCell ref="B233:C233"/>
    <mergeCell ref="D233:F233"/>
    <mergeCell ref="P233:R233"/>
    <mergeCell ref="S233:U233"/>
    <mergeCell ref="B234:C234"/>
    <mergeCell ref="P234:R234"/>
    <mergeCell ref="S234:U234"/>
    <mergeCell ref="B242:C242"/>
    <mergeCell ref="P242:R242"/>
    <mergeCell ref="S242:U242"/>
    <mergeCell ref="B243:C243"/>
    <mergeCell ref="P243:R243"/>
    <mergeCell ref="S243:U243"/>
    <mergeCell ref="B239:C240"/>
    <mergeCell ref="D239:O240"/>
    <mergeCell ref="P239:U239"/>
    <mergeCell ref="P240:R240"/>
    <mergeCell ref="S240:U240"/>
    <mergeCell ref="D241:F241"/>
    <mergeCell ref="P241:R241"/>
    <mergeCell ref="S241:U241"/>
    <mergeCell ref="P244:R244"/>
    <mergeCell ref="S244:U244"/>
    <mergeCell ref="P245:R245"/>
    <mergeCell ref="S245:U245"/>
    <mergeCell ref="B248:C249"/>
    <mergeCell ref="D248:O249"/>
    <mergeCell ref="P248:U248"/>
    <mergeCell ref="P249:R249"/>
    <mergeCell ref="S249:U249"/>
    <mergeCell ref="B252:C252"/>
    <mergeCell ref="P252:R252"/>
    <mergeCell ref="S252:U252"/>
    <mergeCell ref="P253:R253"/>
    <mergeCell ref="S253:U253"/>
    <mergeCell ref="P254:R254"/>
    <mergeCell ref="S254:U254"/>
    <mergeCell ref="B250:C250"/>
    <mergeCell ref="D250:F250"/>
    <mergeCell ref="P250:R250"/>
    <mergeCell ref="S250:U250"/>
    <mergeCell ref="B251:C251"/>
    <mergeCell ref="P251:R251"/>
    <mergeCell ref="S251:U251"/>
    <mergeCell ref="B258:C258"/>
    <mergeCell ref="P258:R258"/>
    <mergeCell ref="S258:U258"/>
    <mergeCell ref="B259:C259"/>
    <mergeCell ref="P259:R259"/>
    <mergeCell ref="S259:U259"/>
    <mergeCell ref="B255:C256"/>
    <mergeCell ref="D255:O256"/>
    <mergeCell ref="P255:U255"/>
    <mergeCell ref="P256:R256"/>
    <mergeCell ref="S256:U256"/>
    <mergeCell ref="B257:C257"/>
    <mergeCell ref="D257:F257"/>
    <mergeCell ref="P257:R257"/>
    <mergeCell ref="S257:U257"/>
    <mergeCell ref="P260:R260"/>
    <mergeCell ref="S260:U260"/>
    <mergeCell ref="P261:R261"/>
    <mergeCell ref="S261:U261"/>
    <mergeCell ref="B262:C263"/>
    <mergeCell ref="D262:O263"/>
    <mergeCell ref="P262:U262"/>
    <mergeCell ref="P263:R263"/>
    <mergeCell ref="S263:U263"/>
    <mergeCell ref="B266:C266"/>
    <mergeCell ref="P266:R266"/>
    <mergeCell ref="S266:U266"/>
    <mergeCell ref="B267:C267"/>
    <mergeCell ref="P267:R267"/>
    <mergeCell ref="B268:C268"/>
    <mergeCell ref="S268:U268"/>
    <mergeCell ref="B264:C264"/>
    <mergeCell ref="D264:F264"/>
    <mergeCell ref="P264:R264"/>
    <mergeCell ref="S264:U264"/>
    <mergeCell ref="B265:C265"/>
    <mergeCell ref="P265:R265"/>
    <mergeCell ref="S265:U265"/>
    <mergeCell ref="P269:R269"/>
    <mergeCell ref="S269:U269"/>
    <mergeCell ref="P270:R270"/>
    <mergeCell ref="S270:U270"/>
    <mergeCell ref="B272:C273"/>
    <mergeCell ref="D272:O273"/>
    <mergeCell ref="P272:U272"/>
    <mergeCell ref="P273:R273"/>
    <mergeCell ref="S273:U273"/>
    <mergeCell ref="B276:C276"/>
    <mergeCell ref="P276:R276"/>
    <mergeCell ref="S276:U276"/>
    <mergeCell ref="P277:R277"/>
    <mergeCell ref="S277:U277"/>
    <mergeCell ref="D274:F274"/>
    <mergeCell ref="P274:R274"/>
    <mergeCell ref="S274:U274"/>
    <mergeCell ref="B275:C275"/>
    <mergeCell ref="P275:R275"/>
    <mergeCell ref="S275:U275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Factures</vt:lpstr>
      <vt:lpstr>FACT AG2I 2</vt:lpstr>
      <vt:lpstr>Feuil2</vt:lpstr>
      <vt:lpstr>Corr</vt:lpstr>
      <vt:lpstr>'FACT AG2I 2'!Zone_d_impression</vt:lpstr>
      <vt:lpstr>Feuil2!Zone_d_impression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2026-09-01T13:20:30Z</dcterms:modified>
</cp:coreProperties>
</file>
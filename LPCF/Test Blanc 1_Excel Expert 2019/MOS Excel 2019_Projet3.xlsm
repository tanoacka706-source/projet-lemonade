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cBook\3D Objects\MOS EXCEL EXPERT 2019-UPDATE\Test Blanc 1_Excel Expert 2019\"/>
    </mc:Choice>
  </mc:AlternateContent>
  <xr:revisionPtr revIDLastSave="0" documentId="13_ncr:1_{9FF1B03D-D2F4-4EAA-BEB4-18EBD6C6B7AC}" xr6:coauthVersionLast="47" xr6:coauthVersionMax="47" xr10:uidLastSave="{00000000-0000-0000-0000-000000000000}"/>
  <bookViews>
    <workbookView xWindow="-120" yWindow="-120" windowWidth="21840" windowHeight="13140" xr2:uid="{7CE438BC-3DC3-4D15-A2FB-C8905FAA2FCD}"/>
  </bookViews>
  <sheets>
    <sheet name="Employés" sheetId="3" r:id="rId1"/>
    <sheet name="Ventes régionales" sheetId="1" r:id="rId2"/>
    <sheet name="Vidéos populaires" sheetId="6" r:id="rId3"/>
    <sheet name="Programmes adhésion" sheetId="4" r:id="rId4"/>
    <sheet name="Analyse des programmes" sheetId="5" r:id="rId5"/>
  </sheets>
  <definedNames>
    <definedName name="Informations_de_contact">Employés!$K$2:$N$4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3" l="1"/>
  <c r="G6" i="3"/>
  <c r="G7" i="3"/>
  <c r="G8" i="3"/>
  <c r="G9" i="3"/>
  <c r="G10" i="3"/>
  <c r="G11" i="3"/>
  <c r="G12" i="3"/>
  <c r="G13" i="3"/>
  <c r="G4" i="3"/>
  <c r="C8" i="1"/>
  <c r="D8" i="1"/>
  <c r="E8" i="1"/>
  <c r="F8" i="1"/>
  <c r="B8" i="1"/>
</calcChain>
</file>

<file path=xl/sharedStrings.xml><?xml version="1.0" encoding="utf-8"?>
<sst xmlns="http://schemas.openxmlformats.org/spreadsheetml/2006/main" count="111" uniqueCount="89">
  <si>
    <t>Total</t>
  </si>
  <si>
    <t xml:space="preserve">Nom
</t>
  </si>
  <si>
    <t xml:space="preserve">Prénoms
</t>
  </si>
  <si>
    <t>Email</t>
  </si>
  <si>
    <t>Assemien</t>
  </si>
  <si>
    <t>Serge</t>
  </si>
  <si>
    <t>Akossi</t>
  </si>
  <si>
    <t>Jean Philippe</t>
  </si>
  <si>
    <t>Epinza</t>
  </si>
  <si>
    <t>Jean Marie</t>
  </si>
  <si>
    <t>Banga</t>
  </si>
  <si>
    <t>Georges</t>
  </si>
  <si>
    <t>Aboidje</t>
  </si>
  <si>
    <t>Léon</t>
  </si>
  <si>
    <t>N'dja Pierre</t>
  </si>
  <si>
    <t>Assemian</t>
  </si>
  <si>
    <t>Thérèse</t>
  </si>
  <si>
    <t>Arnaud</t>
  </si>
  <si>
    <t>Kouadio</t>
  </si>
  <si>
    <t>Stéphane</t>
  </si>
  <si>
    <t>Francisca</t>
  </si>
  <si>
    <t xml:space="preserve">Behibro
</t>
  </si>
  <si>
    <t>Sane</t>
  </si>
  <si>
    <t>Adeyole</t>
  </si>
  <si>
    <t>Description</t>
  </si>
  <si>
    <t>Année complète</t>
  </si>
  <si>
    <t>6 mois</t>
  </si>
  <si>
    <t>Offre spéciale du Nouvel an (package complet, année complète)</t>
  </si>
  <si>
    <t>Offre spéciale de mars (package complet, année complète)</t>
  </si>
  <si>
    <t>Offre spéciale de janvier (tout package)</t>
  </si>
  <si>
    <t>Offre spéciale d'été (tout package)</t>
  </si>
  <si>
    <t>Amis et famille</t>
  </si>
  <si>
    <t>ID du 
programme</t>
  </si>
  <si>
    <t>(Tous)</t>
  </si>
  <si>
    <t>Total général</t>
  </si>
  <si>
    <t>Type</t>
  </si>
  <si>
    <t>Originaux de Southridge</t>
  </si>
  <si>
    <t>Action</t>
  </si>
  <si>
    <t>Animation</t>
  </si>
  <si>
    <t>Famille</t>
  </si>
  <si>
    <t>Classique</t>
  </si>
  <si>
    <t>Comédie</t>
  </si>
  <si>
    <t>Crime</t>
  </si>
  <si>
    <t>Documentaire</t>
  </si>
  <si>
    <t>Théâtre</t>
  </si>
  <si>
    <t>Science-fiction</t>
  </si>
  <si>
    <t>Sports</t>
  </si>
  <si>
    <t>International</t>
  </si>
  <si>
    <t>Musique</t>
  </si>
  <si>
    <t>Emissions de télévision</t>
  </si>
  <si>
    <t>Région</t>
  </si>
  <si>
    <r>
      <rPr>
        <b/>
        <sz val="22"/>
        <color theme="1"/>
        <rFont val="Century Gothic"/>
        <family val="2"/>
      </rPr>
      <t>Vidéo Southridge</t>
    </r>
    <r>
      <rPr>
        <b/>
        <sz val="18"/>
        <color theme="1"/>
        <rFont val="Calibri"/>
        <family val="2"/>
        <scheme val="minor"/>
      </rPr>
      <t xml:space="preserve">
</t>
    </r>
    <r>
      <rPr>
        <sz val="14"/>
        <color theme="1"/>
        <rFont val="Century Gothic"/>
        <family val="2"/>
      </rPr>
      <t>Ventes totales par région</t>
    </r>
  </si>
  <si>
    <t>Nord</t>
  </si>
  <si>
    <t>Est</t>
  </si>
  <si>
    <t>Ouest</t>
  </si>
  <si>
    <t>Sud</t>
  </si>
  <si>
    <t>première
année</t>
  </si>
  <si>
    <t xml:space="preserve">deuxième
année
</t>
  </si>
  <si>
    <t xml:space="preserve">pour la
troisième
</t>
  </si>
  <si>
    <t>pour la
quatrième</t>
  </si>
  <si>
    <t>pour la
cinquième</t>
  </si>
  <si>
    <t>Service</t>
  </si>
  <si>
    <t>Téléphone du bureau</t>
  </si>
  <si>
    <t>ID</t>
  </si>
  <si>
    <t>Gestion</t>
  </si>
  <si>
    <t>Informatique</t>
  </si>
  <si>
    <t>Comptabilité</t>
  </si>
  <si>
    <t>Service des ventes</t>
  </si>
  <si>
    <t>Service client</t>
  </si>
  <si>
    <t>Service courrier</t>
  </si>
  <si>
    <t>Informations de contact</t>
  </si>
  <si>
    <t>Directeur régional</t>
  </si>
  <si>
    <t>Abina. Caroline</t>
  </si>
  <si>
    <t>Georges. Bilé</t>
  </si>
  <si>
    <t>Run. Pauline</t>
  </si>
  <si>
    <t>(102) 387-0361</t>
  </si>
  <si>
    <t>Diaz. Brenda</t>
  </si>
  <si>
    <t>(213) 753-0540</t>
  </si>
  <si>
    <t>(858) 131-0428</t>
  </si>
  <si>
    <t>(757) 911-0475</t>
  </si>
  <si>
    <t>Vues en direct
(6 derniers mois)</t>
  </si>
  <si>
    <t>Téléchargments
(6 derniers mois)</t>
  </si>
  <si>
    <t xml:space="preserve">Adhésions 
acquises
</t>
  </si>
  <si>
    <t xml:space="preserve">Prix du package 
complet
</t>
  </si>
  <si>
    <t>Prix du package complet</t>
  </si>
  <si>
    <r>
      <rPr>
        <b/>
        <sz val="22"/>
        <color theme="1"/>
        <rFont val="Century Gothic"/>
        <family val="2"/>
      </rPr>
      <t>Vidéo Southridge</t>
    </r>
    <r>
      <rPr>
        <b/>
        <sz val="16"/>
        <color theme="1"/>
        <rFont val="Century Gothic"/>
        <family val="2"/>
      </rPr>
      <t xml:space="preserve">
</t>
    </r>
    <r>
      <rPr>
        <sz val="16"/>
        <color theme="1"/>
        <rFont val="Century Gothic"/>
        <family val="2"/>
      </rPr>
      <t xml:space="preserve"> Employés par région</t>
    </r>
  </si>
  <si>
    <r>
      <rPr>
        <b/>
        <sz val="18"/>
        <color theme="1"/>
        <rFont val="Century Gothic"/>
        <family val="2"/>
      </rPr>
      <t>Vidéo Southridge</t>
    </r>
    <r>
      <rPr>
        <b/>
        <sz val="16"/>
        <color theme="1"/>
        <rFont val="Century Gothic"/>
        <family val="2"/>
      </rPr>
      <t xml:space="preserve">
</t>
    </r>
    <r>
      <rPr>
        <sz val="16"/>
        <color theme="1"/>
        <rFont val="Century Gothic"/>
        <family val="2"/>
      </rPr>
      <t>Popularité par type de vidéo</t>
    </r>
  </si>
  <si>
    <r>
      <rPr>
        <b/>
        <sz val="18"/>
        <color theme="1"/>
        <rFont val="Century Gothic"/>
        <family val="2"/>
      </rPr>
      <t>Vidéo Southridge</t>
    </r>
    <r>
      <rPr>
        <b/>
        <sz val="16"/>
        <color theme="1"/>
        <rFont val="Century Gothic"/>
        <family val="2"/>
      </rPr>
      <t xml:space="preserve">
</t>
    </r>
    <r>
      <rPr>
        <sz val="16"/>
        <color theme="1"/>
        <rFont val="Century Gothic"/>
        <family val="2"/>
      </rPr>
      <t>Programme des packages</t>
    </r>
  </si>
  <si>
    <t>Adhésions acquises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</si>
</sst>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_-* #,##0\ [$€-1]_-;\-* #,##0\ [$€-1]_-;_-* &quot;-&quot;??\ [$€-1]_-;_-@_-"/>
    <numFmt numFmtId="166" formatCode="#,##0\ &quot;€&quot;"/>
  </numFmts>
  <fonts count="12" x14ac:knownFonts="1">
    <font>
      <sz val="11"/>
      <color theme="1"/>
      <name val="Calibri"/>
      <family val="2"/>
      <scheme val="minor"/>
    </font>
    <font>
      <b/>
      <sz val="18"/>
      <color theme="1"/>
      <name val="Century Gothic"/>
      <family val="2"/>
    </font>
    <font>
      <b/>
      <sz val="18"/>
      <color theme="1"/>
      <name val="Calibri"/>
      <family val="2"/>
      <scheme val="minor"/>
    </font>
    <font>
      <b/>
      <sz val="22"/>
      <color theme="1"/>
      <name val="Century Gothic"/>
      <family val="2"/>
    </font>
    <font>
      <sz val="14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6"/>
      <color theme="1"/>
      <name val="Century Gothic"/>
      <family val="2"/>
    </font>
    <font>
      <b/>
      <sz val="13"/>
      <color theme="1"/>
      <name val="Century Gothic"/>
      <family val="2"/>
    </font>
    <font>
      <sz val="13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NumberFormat="1"/>
    <xf numFmtId="164" fontId="0" fillId="0" borderId="0" xfId="0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2" xfId="0" applyFont="1" applyBorder="1"/>
    <xf numFmtId="165" fontId="6" fillId="0" borderId="2" xfId="0" applyNumberFormat="1" applyFont="1" applyBorder="1"/>
    <xf numFmtId="165" fontId="6" fillId="3" borderId="2" xfId="0" applyNumberFormat="1" applyFont="1" applyFill="1" applyBorder="1"/>
    <xf numFmtId="0" fontId="6" fillId="0" borderId="1" xfId="0" applyFont="1" applyBorder="1"/>
    <xf numFmtId="165" fontId="6" fillId="0" borderId="1" xfId="0" applyNumberFormat="1" applyFont="1" applyBorder="1"/>
    <xf numFmtId="165" fontId="6" fillId="3" borderId="1" xfId="0" applyNumberFormat="1" applyFont="1" applyFill="1" applyBorder="1"/>
    <xf numFmtId="0" fontId="5" fillId="2" borderId="1" xfId="0" applyFont="1" applyFill="1" applyBorder="1"/>
    <xf numFmtId="165" fontId="6" fillId="2" borderId="1" xfId="0" applyNumberFormat="1" applyFont="1" applyFill="1" applyBorder="1"/>
    <xf numFmtId="0" fontId="5" fillId="0" borderId="0" xfId="0" applyFont="1" applyAlignment="1">
      <alignment horizontal="center" vertical="top" wrapText="1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0" fontId="6" fillId="3" borderId="1" xfId="0" applyFont="1" applyFill="1" applyBorder="1"/>
    <xf numFmtId="0" fontId="6" fillId="0" borderId="1" xfId="0" applyFont="1" applyBorder="1" applyAlignment="1">
      <alignment vertical="center"/>
    </xf>
    <xf numFmtId="0" fontId="7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pivotButton="1" applyAlignment="1">
      <alignment horizontal="left"/>
    </xf>
    <xf numFmtId="0" fontId="0" fillId="0" borderId="0" xfId="0" applyAlignment="1">
      <alignment horizontal="right"/>
    </xf>
    <xf numFmtId="0" fontId="6" fillId="2" borderId="1" xfId="0" applyFont="1" applyFill="1" applyBorder="1" applyAlignment="1">
      <alignment horizontal="left" vertical="top"/>
    </xf>
    <xf numFmtId="0" fontId="10" fillId="0" borderId="0" xfId="0" applyFont="1" applyAlignment="1">
      <alignment horizontal="center" vertical="center"/>
    </xf>
    <xf numFmtId="0" fontId="11" fillId="0" borderId="2" xfId="0" applyFont="1" applyBorder="1"/>
    <xf numFmtId="3" fontId="11" fillId="0" borderId="2" xfId="0" applyNumberFormat="1" applyFont="1" applyBorder="1"/>
    <xf numFmtId="0" fontId="11" fillId="0" borderId="1" xfId="0" applyFont="1" applyBorder="1"/>
    <xf numFmtId="3" fontId="11" fillId="0" borderId="1" xfId="0" applyNumberFormat="1" applyFont="1" applyBorder="1"/>
    <xf numFmtId="0" fontId="10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 vertical="top" wrapText="1"/>
    </xf>
    <xf numFmtId="164" fontId="6" fillId="0" borderId="1" xfId="0" applyNumberFormat="1" applyFont="1" applyBorder="1"/>
    <xf numFmtId="166" fontId="6" fillId="3" borderId="1" xfId="0" applyNumberFormat="1" applyFont="1" applyFill="1" applyBorder="1"/>
    <xf numFmtId="164" fontId="6" fillId="0" borderId="1" xfId="0" applyNumberFormat="1" applyFont="1" applyBorder="1" applyAlignment="1">
      <alignment vertical="center"/>
    </xf>
    <xf numFmtId="166" fontId="6" fillId="0" borderId="1" xfId="0" applyNumberFormat="1" applyFont="1" applyBorder="1" applyAlignment="1">
      <alignment vertical="center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3">
    <dxf>
      <alignment horizontal="right"/>
    </dxf>
    <dxf>
      <alignment horizontal="left"/>
    </dxf>
    <dxf>
      <alignment horizontal="right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ge ASSEMIEN" refreshedDate="46248.030532870369" createdVersion="8" refreshedVersion="8" minRefreshableVersion="3" recordCount="7" xr:uid="{66D569AB-80DD-4CD0-B1CA-6A2210F51914}">
  <cacheSource type="worksheet">
    <worksheetSource ref="A3:D10" sheet="Programmes adhésion"/>
  </cacheSource>
  <cacheFields count="4">
    <cacheField name="ID du _x000a_programme" numFmtId="0">
      <sharedItems containsSemiMixedTypes="0" containsString="0" containsNumber="1" containsInteger="1" minValue="1" maxValue="7"/>
    </cacheField>
    <cacheField name="Description" numFmtId="0">
      <sharedItems count="7">
        <s v="Année complète"/>
        <s v="6 mois"/>
        <s v="Offre spéciale du Nouvel an (package complet, année complète)"/>
        <s v="Offre spéciale de mars (package complet, année complète)"/>
        <s v="Offre spéciale de janvier (tout package)"/>
        <s v="Amis et famille"/>
        <s v="Offre spéciale d'été (tout package)"/>
      </sharedItems>
    </cacheField>
    <cacheField name="Prix du package _x000a_complet_x000a_" numFmtId="164">
      <sharedItems containsSemiMixedTypes="0" containsString="0" containsNumber="1" containsInteger="1" minValue="80" maxValue="129" count="7">
        <n v="129"/>
        <n v="80"/>
        <n v="95"/>
        <n v="89"/>
        <n v="105"/>
        <n v="112"/>
        <n v="99"/>
      </sharedItems>
    </cacheField>
    <cacheField name="Adhésions _x000a_acquises_x000a_" numFmtId="166">
      <sharedItems containsSemiMixedTypes="0" containsString="0" containsNumber="1" containsInteger="1" minValue="6588" maxValue="495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1"/>
    <x v="0"/>
    <x v="0"/>
    <n v="44850"/>
  </r>
  <r>
    <n v="2"/>
    <x v="1"/>
    <x v="1"/>
    <n v="6588"/>
  </r>
  <r>
    <n v="3"/>
    <x v="2"/>
    <x v="2"/>
    <n v="13995"/>
  </r>
  <r>
    <n v="4"/>
    <x v="3"/>
    <x v="3"/>
    <n v="12456"/>
  </r>
  <r>
    <n v="5"/>
    <x v="4"/>
    <x v="4"/>
    <n v="9587"/>
  </r>
  <r>
    <n v="6"/>
    <x v="5"/>
    <x v="5"/>
    <n v="9870"/>
  </r>
  <r>
    <n v="7"/>
    <x v="6"/>
    <x v="6"/>
    <n v="495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08A8B0-32D4-4995-A79F-55C4973EC9F5}" name="Tableau croisé dynamique3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Prix du package complet">
  <location ref="A3:B11" firstHeaderRow="1" firstDataRow="1" firstDataCol="1" rowPageCount="1" colPageCount="1"/>
  <pivotFields count="4">
    <pivotField showAll="0"/>
    <pivotField axis="axisPage" showAll="0">
      <items count="8">
        <item x="1"/>
        <item x="5"/>
        <item x="0"/>
        <item x="4"/>
        <item x="3"/>
        <item x="6"/>
        <item x="2"/>
        <item t="default"/>
      </items>
    </pivotField>
    <pivotField axis="axisRow" numFmtId="164" showAll="0">
      <items count="8">
        <item x="1"/>
        <item x="3"/>
        <item x="2"/>
        <item x="6"/>
        <item x="4"/>
        <item x="5"/>
        <item x="0"/>
        <item t="default"/>
      </items>
    </pivotField>
    <pivotField dataField="1" numFmtId="166"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" hier="-1"/>
  </pageFields>
  <dataFields count="1">
    <dataField name="Adhésions acquises" fld="3" baseField="2" baseItem="0"/>
  </dataFields>
  <formats count="3">
    <format dxfId="2">
      <pivotArea dataOnly="0" labelOnly="1" fieldPosition="0">
        <references count="1">
          <reference field="2" count="0"/>
        </references>
      </pivotArea>
    </format>
    <format dxfId="1">
      <pivotArea field="2" type="button" dataOnly="0" labelOnly="1" outline="0" axis="axisRow" fieldPosition="0"/>
    </format>
    <format dxfId="0">
      <pivotArea dataOnly="0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D1D4E-ED93-49F2-956F-0BC004DFFDDD}">
  <dimension ref="A1:N13"/>
  <sheetViews>
    <sheetView tabSelected="1" topLeftCell="E1" workbookViewId="0">
      <selection activeCell="J16" sqref="J16"/>
    </sheetView>
  </sheetViews>
  <sheetFormatPr baseColWidth="10" defaultRowHeight="15" x14ac:dyDescent="0.25"/>
  <cols>
    <col min="1" max="1" width="10.140625" customWidth="1"/>
    <col min="2" max="2" width="17.140625" customWidth="1"/>
    <col min="3" max="3" width="32" customWidth="1"/>
    <col min="4" max="4" width="17.85546875" customWidth="1"/>
    <col min="5" max="5" width="18.7109375" customWidth="1"/>
    <col min="6" max="6" width="22.42578125" customWidth="1"/>
    <col min="7" max="7" width="29.42578125" customWidth="1"/>
    <col min="8" max="8" width="3.28515625" customWidth="1"/>
    <col min="9" max="9" width="3.7109375" customWidth="1"/>
    <col min="10" max="10" width="25.7109375" customWidth="1"/>
    <col min="11" max="11" width="19.140625" customWidth="1"/>
    <col min="12" max="12" width="18.85546875" customWidth="1"/>
    <col min="13" max="13" width="19.5703125" customWidth="1"/>
    <col min="14" max="14" width="21.42578125" customWidth="1"/>
  </cols>
  <sheetData>
    <row r="1" spans="1:14" ht="30" customHeight="1" x14ac:dyDescent="0.25">
      <c r="A1" s="1"/>
      <c r="B1" s="38" t="s">
        <v>85</v>
      </c>
      <c r="C1" s="39"/>
      <c r="D1" s="39"/>
      <c r="E1" s="39"/>
      <c r="F1" s="39"/>
      <c r="G1" s="39"/>
      <c r="J1" s="40" t="s">
        <v>70</v>
      </c>
      <c r="K1" s="40"/>
      <c r="L1" s="40"/>
      <c r="M1" s="40"/>
      <c r="N1" s="40"/>
    </row>
    <row r="2" spans="1:14" ht="30" customHeight="1" x14ac:dyDescent="0.25">
      <c r="A2" s="1"/>
      <c r="B2" s="39"/>
      <c r="C2" s="39"/>
      <c r="D2" s="39"/>
      <c r="E2" s="39"/>
      <c r="F2" s="39"/>
      <c r="G2" s="39"/>
      <c r="J2" s="25" t="s">
        <v>50</v>
      </c>
      <c r="K2" s="16" t="s">
        <v>52</v>
      </c>
      <c r="L2" s="16" t="s">
        <v>55</v>
      </c>
      <c r="M2" s="16" t="s">
        <v>53</v>
      </c>
      <c r="N2" s="16" t="s">
        <v>54</v>
      </c>
    </row>
    <row r="3" spans="1:14" ht="28.5" customHeight="1" x14ac:dyDescent="0.25">
      <c r="A3" s="15" t="s">
        <v>63</v>
      </c>
      <c r="B3" s="15" t="s">
        <v>50</v>
      </c>
      <c r="C3" s="15" t="s">
        <v>62</v>
      </c>
      <c r="D3" s="15" t="s">
        <v>1</v>
      </c>
      <c r="E3" s="15" t="s">
        <v>2</v>
      </c>
      <c r="F3" s="15" t="s">
        <v>61</v>
      </c>
      <c r="G3" s="15" t="s">
        <v>3</v>
      </c>
      <c r="J3" s="25" t="s">
        <v>71</v>
      </c>
      <c r="K3" s="16" t="s">
        <v>72</v>
      </c>
      <c r="L3" s="16" t="s">
        <v>73</v>
      </c>
      <c r="M3" s="16" t="s">
        <v>74</v>
      </c>
      <c r="N3" s="16" t="s">
        <v>76</v>
      </c>
    </row>
    <row r="4" spans="1:14" ht="17.25" x14ac:dyDescent="0.3">
      <c r="A4" s="19">
        <v>12345</v>
      </c>
      <c r="B4" s="20" t="s">
        <v>54</v>
      </c>
      <c r="C4" s="9"/>
      <c r="D4" s="9" t="s">
        <v>4</v>
      </c>
      <c r="E4" s="17" t="s">
        <v>5</v>
      </c>
      <c r="F4" s="17" t="s">
        <v>64</v>
      </c>
      <c r="G4" s="17" t="str">
        <f>LOWER(_xlfn.CONCAT(D4,"@univmetiers.ci"))</f>
        <v>assemien@univmetiers.ci</v>
      </c>
      <c r="J4" s="25" t="s">
        <v>62</v>
      </c>
      <c r="K4" s="16" t="s">
        <v>79</v>
      </c>
      <c r="L4" s="16" t="s">
        <v>78</v>
      </c>
      <c r="M4" s="16" t="s">
        <v>75</v>
      </c>
      <c r="N4" s="16" t="s">
        <v>77</v>
      </c>
    </row>
    <row r="5" spans="1:14" ht="17.25" x14ac:dyDescent="0.3">
      <c r="A5" s="19">
        <v>22345</v>
      </c>
      <c r="B5" s="20" t="s">
        <v>55</v>
      </c>
      <c r="C5" s="9"/>
      <c r="D5" s="9" t="s">
        <v>6</v>
      </c>
      <c r="E5" s="17" t="s">
        <v>7</v>
      </c>
      <c r="F5" s="17" t="s">
        <v>65</v>
      </c>
      <c r="G5" s="17" t="str">
        <f t="shared" ref="G5:G13" si="0">LOWER(_xlfn.CONCAT(D5,"@univmetiers.ci"))</f>
        <v>akossi@univmetiers.ci</v>
      </c>
    </row>
    <row r="6" spans="1:14" ht="17.25" x14ac:dyDescent="0.3">
      <c r="A6" s="19">
        <v>32345</v>
      </c>
      <c r="B6" s="20" t="s">
        <v>53</v>
      </c>
      <c r="C6" s="9"/>
      <c r="D6" s="9" t="s">
        <v>8</v>
      </c>
      <c r="E6" s="17" t="s">
        <v>9</v>
      </c>
      <c r="F6" s="17" t="s">
        <v>66</v>
      </c>
      <c r="G6" s="17" t="str">
        <f t="shared" si="0"/>
        <v>epinza@univmetiers.ci</v>
      </c>
    </row>
    <row r="7" spans="1:14" ht="17.25" x14ac:dyDescent="0.3">
      <c r="A7" s="19">
        <v>42345</v>
      </c>
      <c r="B7" s="20" t="s">
        <v>52</v>
      </c>
      <c r="C7" s="9"/>
      <c r="D7" s="9" t="s">
        <v>10</v>
      </c>
      <c r="E7" s="17" t="s">
        <v>11</v>
      </c>
      <c r="F7" s="17" t="s">
        <v>67</v>
      </c>
      <c r="G7" s="17" t="str">
        <f t="shared" si="0"/>
        <v>banga@univmetiers.ci</v>
      </c>
    </row>
    <row r="8" spans="1:14" ht="17.25" x14ac:dyDescent="0.3">
      <c r="A8" s="19">
        <v>62345</v>
      </c>
      <c r="B8" s="20" t="s">
        <v>54</v>
      </c>
      <c r="C8" s="9"/>
      <c r="D8" s="9" t="s">
        <v>12</v>
      </c>
      <c r="E8" s="17" t="s">
        <v>13</v>
      </c>
      <c r="F8" s="17" t="s">
        <v>68</v>
      </c>
      <c r="G8" s="17" t="str">
        <f t="shared" si="0"/>
        <v>aboidje@univmetiers.ci</v>
      </c>
    </row>
    <row r="9" spans="1:14" ht="16.5" customHeight="1" x14ac:dyDescent="0.3">
      <c r="A9" s="19">
        <v>72345</v>
      </c>
      <c r="B9" s="20" t="s">
        <v>52</v>
      </c>
      <c r="C9" s="9"/>
      <c r="D9" s="18" t="s">
        <v>21</v>
      </c>
      <c r="E9" s="17" t="s">
        <v>14</v>
      </c>
      <c r="F9" s="17" t="s">
        <v>69</v>
      </c>
      <c r="G9" s="17" t="str">
        <f t="shared" si="0"/>
        <v>behibro
@univmetiers.ci</v>
      </c>
    </row>
    <row r="10" spans="1:14" ht="17.25" x14ac:dyDescent="0.3">
      <c r="A10" s="19">
        <v>82345</v>
      </c>
      <c r="B10" s="21" t="s">
        <v>54</v>
      </c>
      <c r="C10" s="9"/>
      <c r="D10" s="18" t="s">
        <v>15</v>
      </c>
      <c r="E10" s="18" t="s">
        <v>16</v>
      </c>
      <c r="F10" s="18" t="s">
        <v>64</v>
      </c>
      <c r="G10" s="17" t="str">
        <f t="shared" si="0"/>
        <v>assemian@univmetiers.ci</v>
      </c>
    </row>
    <row r="11" spans="1:14" ht="17.25" x14ac:dyDescent="0.3">
      <c r="A11" s="19">
        <v>92345</v>
      </c>
      <c r="B11" s="21" t="s">
        <v>52</v>
      </c>
      <c r="C11" s="9"/>
      <c r="D11" s="18" t="s">
        <v>22</v>
      </c>
      <c r="E11" s="18" t="s">
        <v>17</v>
      </c>
      <c r="F11" s="18" t="s">
        <v>65</v>
      </c>
      <c r="G11" s="17" t="str">
        <f t="shared" si="0"/>
        <v>sane@univmetiers.ci</v>
      </c>
    </row>
    <row r="12" spans="1:14" ht="17.25" x14ac:dyDescent="0.3">
      <c r="A12" s="19">
        <v>102345</v>
      </c>
      <c r="B12" s="21" t="s">
        <v>55</v>
      </c>
      <c r="C12" s="9"/>
      <c r="D12" s="18" t="s">
        <v>18</v>
      </c>
      <c r="E12" s="18" t="s">
        <v>19</v>
      </c>
      <c r="F12" s="18" t="s">
        <v>66</v>
      </c>
      <c r="G12" s="17" t="str">
        <f t="shared" si="0"/>
        <v>kouadio@univmetiers.ci</v>
      </c>
    </row>
    <row r="13" spans="1:14" ht="17.25" x14ac:dyDescent="0.3">
      <c r="A13" s="19">
        <v>122345</v>
      </c>
      <c r="B13" s="21" t="s">
        <v>52</v>
      </c>
      <c r="C13" s="9"/>
      <c r="D13" s="18" t="s">
        <v>23</v>
      </c>
      <c r="E13" s="18" t="s">
        <v>20</v>
      </c>
      <c r="F13" s="18" t="s">
        <v>64</v>
      </c>
      <c r="G13" s="17" t="str">
        <f t="shared" si="0"/>
        <v>adeyole@univmetiers.ci</v>
      </c>
    </row>
  </sheetData>
  <mergeCells count="2">
    <mergeCell ref="B1:G2"/>
    <mergeCell ref="J1:N1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1B62B-687C-40F8-9871-0DDA3EDB625D}">
  <dimension ref="A1:F8"/>
  <sheetViews>
    <sheetView workbookViewId="0">
      <selection activeCell="C18" sqref="C18"/>
    </sheetView>
  </sheetViews>
  <sheetFormatPr baseColWidth="10" defaultRowHeight="15" x14ac:dyDescent="0.25"/>
  <cols>
    <col min="1" max="1" width="17.140625" customWidth="1"/>
    <col min="2" max="2" width="16" customWidth="1"/>
    <col min="3" max="3" width="15.7109375" customWidth="1"/>
    <col min="4" max="4" width="15.42578125" customWidth="1"/>
    <col min="5" max="5" width="14.85546875" customWidth="1"/>
    <col min="6" max="6" width="16.85546875" customWidth="1"/>
  </cols>
  <sheetData>
    <row r="1" spans="1:6" ht="30" customHeight="1" x14ac:dyDescent="0.25">
      <c r="A1" s="41" t="s">
        <v>51</v>
      </c>
      <c r="B1" s="41"/>
      <c r="C1" s="41"/>
      <c r="D1" s="41"/>
      <c r="E1" s="41"/>
      <c r="F1" s="41"/>
    </row>
    <row r="2" spans="1:6" ht="30" customHeight="1" x14ac:dyDescent="0.25">
      <c r="A2" s="41"/>
      <c r="B2" s="41"/>
      <c r="C2" s="41"/>
      <c r="D2" s="41"/>
      <c r="E2" s="41"/>
      <c r="F2" s="41"/>
    </row>
    <row r="3" spans="1:6" ht="45.75" customHeight="1" thickBot="1" x14ac:dyDescent="0.3">
      <c r="A3" s="5" t="s">
        <v>50</v>
      </c>
      <c r="B3" s="14" t="s">
        <v>56</v>
      </c>
      <c r="C3" s="14" t="s">
        <v>57</v>
      </c>
      <c r="D3" s="14" t="s">
        <v>58</v>
      </c>
      <c r="E3" s="14" t="s">
        <v>59</v>
      </c>
      <c r="F3" s="14" t="s">
        <v>60</v>
      </c>
    </row>
    <row r="4" spans="1:6" ht="17.25" x14ac:dyDescent="0.3">
      <c r="A4" s="6" t="s">
        <v>52</v>
      </c>
      <c r="B4" s="7">
        <v>3500000</v>
      </c>
      <c r="C4" s="7">
        <v>4000000</v>
      </c>
      <c r="D4" s="8"/>
      <c r="E4" s="8"/>
      <c r="F4" s="8"/>
    </row>
    <row r="5" spans="1:6" ht="17.25" x14ac:dyDescent="0.3">
      <c r="A5" s="9" t="s">
        <v>53</v>
      </c>
      <c r="B5" s="10">
        <v>2500000</v>
      </c>
      <c r="C5" s="10">
        <v>3000000</v>
      </c>
      <c r="D5" s="11"/>
      <c r="E5" s="11"/>
      <c r="F5" s="11"/>
    </row>
    <row r="6" spans="1:6" ht="17.25" x14ac:dyDescent="0.3">
      <c r="A6" s="9" t="s">
        <v>54</v>
      </c>
      <c r="B6" s="10">
        <v>2250000</v>
      </c>
      <c r="C6" s="10">
        <v>2750000</v>
      </c>
      <c r="D6" s="11"/>
      <c r="E6" s="11"/>
      <c r="F6" s="11"/>
    </row>
    <row r="7" spans="1:6" ht="17.25" x14ac:dyDescent="0.3">
      <c r="A7" s="9" t="s">
        <v>55</v>
      </c>
      <c r="B7" s="10">
        <v>2105000</v>
      </c>
      <c r="C7" s="10">
        <v>2605000</v>
      </c>
      <c r="D7" s="11"/>
      <c r="E7" s="11"/>
      <c r="F7" s="11"/>
    </row>
    <row r="8" spans="1:6" ht="17.25" x14ac:dyDescent="0.3">
      <c r="A8" s="12" t="s">
        <v>0</v>
      </c>
      <c r="B8" s="13">
        <f>SUM(B4:B7)</f>
        <v>10355000</v>
      </c>
      <c r="C8" s="13">
        <f t="shared" ref="C8:F8" si="0">SUM(C4:C7)</f>
        <v>12355000</v>
      </c>
      <c r="D8" s="13">
        <f t="shared" si="0"/>
        <v>0</v>
      </c>
      <c r="E8" s="13">
        <f t="shared" si="0"/>
        <v>0</v>
      </c>
      <c r="F8" s="13">
        <f t="shared" si="0"/>
        <v>0</v>
      </c>
    </row>
  </sheetData>
  <mergeCells count="1">
    <mergeCell ref="A1:F2"/>
  </mergeCells>
  <pageMargins left="0.7" right="0.7" top="0.75" bottom="0.75" header="0.3" footer="0.3"/>
  <pageSetup paperSize="9" orientation="portrait" horizontalDpi="429496729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6FB54-CDFB-4B2D-88CC-98AF9B49B9B2}">
  <dimension ref="A1:C17"/>
  <sheetViews>
    <sheetView workbookViewId="0">
      <selection activeCell="C16" sqref="C16"/>
    </sheetView>
  </sheetViews>
  <sheetFormatPr baseColWidth="10" defaultRowHeight="15" x14ac:dyDescent="0.25"/>
  <cols>
    <col min="1" max="1" width="29.5703125" customWidth="1"/>
    <col min="2" max="2" width="25.5703125" customWidth="1"/>
    <col min="3" max="3" width="30.42578125" customWidth="1"/>
  </cols>
  <sheetData>
    <row r="1" spans="1:3" ht="30" customHeight="1" x14ac:dyDescent="0.25">
      <c r="A1" s="38" t="s">
        <v>86</v>
      </c>
      <c r="B1" s="39"/>
      <c r="C1" s="39"/>
    </row>
    <row r="2" spans="1:3" ht="30" customHeight="1" x14ac:dyDescent="0.25">
      <c r="A2" s="39"/>
      <c r="B2" s="39"/>
      <c r="C2" s="39"/>
    </row>
    <row r="3" spans="1:3" ht="45.75" customHeight="1" thickBot="1" x14ac:dyDescent="0.3">
      <c r="A3" s="26" t="s">
        <v>35</v>
      </c>
      <c r="B3" s="31" t="s">
        <v>80</v>
      </c>
      <c r="C3" s="31" t="s">
        <v>81</v>
      </c>
    </row>
    <row r="4" spans="1:3" ht="16.5" x14ac:dyDescent="0.25">
      <c r="A4" s="27" t="s">
        <v>49</v>
      </c>
      <c r="B4" s="28">
        <v>4500000</v>
      </c>
      <c r="C4" s="28">
        <v>2925000</v>
      </c>
    </row>
    <row r="5" spans="1:3" ht="16.5" x14ac:dyDescent="0.25">
      <c r="A5" s="29" t="s">
        <v>36</v>
      </c>
      <c r="B5" s="30">
        <v>3500000</v>
      </c>
      <c r="C5" s="30">
        <v>2275000</v>
      </c>
    </row>
    <row r="6" spans="1:3" ht="16.5" x14ac:dyDescent="0.25">
      <c r="A6" s="29" t="s">
        <v>37</v>
      </c>
      <c r="B6" s="30">
        <v>5500000</v>
      </c>
      <c r="C6" s="30">
        <v>3575000</v>
      </c>
    </row>
    <row r="7" spans="1:3" ht="16.5" x14ac:dyDescent="0.25">
      <c r="A7" s="29" t="s">
        <v>38</v>
      </c>
      <c r="B7" s="30">
        <v>1500000</v>
      </c>
      <c r="C7" s="30">
        <v>975000</v>
      </c>
    </row>
    <row r="8" spans="1:3" ht="16.5" x14ac:dyDescent="0.25">
      <c r="A8" s="29" t="s">
        <v>39</v>
      </c>
      <c r="B8" s="30">
        <v>2500000</v>
      </c>
      <c r="C8" s="30">
        <v>1625000</v>
      </c>
    </row>
    <row r="9" spans="1:3" ht="16.5" x14ac:dyDescent="0.25">
      <c r="A9" s="29" t="s">
        <v>40</v>
      </c>
      <c r="B9" s="30">
        <v>350000</v>
      </c>
      <c r="C9" s="30">
        <v>227500</v>
      </c>
    </row>
    <row r="10" spans="1:3" ht="16.5" x14ac:dyDescent="0.25">
      <c r="A10" s="29" t="s">
        <v>41</v>
      </c>
      <c r="B10" s="30">
        <v>1250000</v>
      </c>
      <c r="C10" s="30">
        <v>812500</v>
      </c>
    </row>
    <row r="11" spans="1:3" ht="16.5" x14ac:dyDescent="0.25">
      <c r="A11" s="29" t="s">
        <v>42</v>
      </c>
      <c r="B11" s="30">
        <v>995000</v>
      </c>
      <c r="C11" s="30">
        <v>646750</v>
      </c>
    </row>
    <row r="12" spans="1:3" ht="16.5" x14ac:dyDescent="0.25">
      <c r="A12" s="29" t="s">
        <v>43</v>
      </c>
      <c r="B12" s="30">
        <v>25000</v>
      </c>
      <c r="C12" s="30">
        <v>16250</v>
      </c>
    </row>
    <row r="13" spans="1:3" ht="16.5" x14ac:dyDescent="0.25">
      <c r="A13" s="29" t="s">
        <v>44</v>
      </c>
      <c r="B13" s="30">
        <v>2450000</v>
      </c>
      <c r="C13" s="30">
        <v>1592500</v>
      </c>
    </row>
    <row r="14" spans="1:3" ht="16.5" x14ac:dyDescent="0.25">
      <c r="A14" s="29" t="s">
        <v>45</v>
      </c>
      <c r="B14" s="30">
        <v>2250000</v>
      </c>
      <c r="C14" s="30">
        <v>1462500</v>
      </c>
    </row>
    <row r="15" spans="1:3" ht="16.5" x14ac:dyDescent="0.25">
      <c r="A15" s="29" t="s">
        <v>48</v>
      </c>
      <c r="B15" s="30">
        <v>2950000</v>
      </c>
      <c r="C15" s="30">
        <v>2567500</v>
      </c>
    </row>
    <row r="16" spans="1:3" ht="16.5" x14ac:dyDescent="0.25">
      <c r="A16" s="29" t="s">
        <v>46</v>
      </c>
      <c r="B16" s="30">
        <v>4000000</v>
      </c>
      <c r="C16" s="30">
        <v>2600000</v>
      </c>
    </row>
    <row r="17" spans="1:3" ht="16.5" x14ac:dyDescent="0.25">
      <c r="A17" s="29" t="s">
        <v>47</v>
      </c>
      <c r="B17" s="30">
        <v>3750000</v>
      </c>
      <c r="C17" s="30">
        <v>2437500</v>
      </c>
    </row>
  </sheetData>
  <mergeCells count="1">
    <mergeCell ref="A1:C2"/>
  </mergeCells>
  <pageMargins left="0.7" right="0.7" top="0.75" bottom="0.75" header="0.3" footer="0.3"/>
  <pageSetup paperSize="9"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AB73A-5E89-4E00-9752-4803CD194FF4}">
  <dimension ref="A1:D10"/>
  <sheetViews>
    <sheetView workbookViewId="0">
      <selection activeCell="C9" sqref="C9"/>
    </sheetView>
  </sheetViews>
  <sheetFormatPr baseColWidth="10" defaultRowHeight="15" x14ac:dyDescent="0.25"/>
  <cols>
    <col min="1" max="1" width="19.5703125" customWidth="1"/>
    <col min="2" max="2" width="75.42578125" customWidth="1"/>
    <col min="3" max="3" width="19.28515625" customWidth="1"/>
    <col min="4" max="4" width="15.5703125" customWidth="1"/>
  </cols>
  <sheetData>
    <row r="1" spans="1:4" ht="30" customHeight="1" x14ac:dyDescent="0.25">
      <c r="A1" s="38" t="s">
        <v>87</v>
      </c>
      <c r="B1" s="39"/>
      <c r="C1" s="39"/>
      <c r="D1" s="39"/>
    </row>
    <row r="2" spans="1:4" ht="17.25" customHeight="1" x14ac:dyDescent="0.25">
      <c r="A2" s="39"/>
      <c r="B2" s="39"/>
      <c r="C2" s="39"/>
      <c r="D2" s="39"/>
    </row>
    <row r="3" spans="1:4" ht="45.75" customHeight="1" x14ac:dyDescent="0.25">
      <c r="A3" s="32" t="s">
        <v>32</v>
      </c>
      <c r="B3" s="15" t="s">
        <v>24</v>
      </c>
      <c r="C3" s="33" t="s">
        <v>83</v>
      </c>
      <c r="D3" s="33" t="s">
        <v>82</v>
      </c>
    </row>
    <row r="4" spans="1:4" ht="17.25" x14ac:dyDescent="0.3">
      <c r="A4" s="20">
        <v>1</v>
      </c>
      <c r="B4" s="17" t="s">
        <v>25</v>
      </c>
      <c r="C4" s="34">
        <v>129</v>
      </c>
      <c r="D4" s="35">
        <v>44850</v>
      </c>
    </row>
    <row r="5" spans="1:4" ht="17.25" x14ac:dyDescent="0.3">
      <c r="A5" s="20">
        <v>2</v>
      </c>
      <c r="B5" s="17" t="s">
        <v>26</v>
      </c>
      <c r="C5" s="34">
        <v>80</v>
      </c>
      <c r="D5" s="35">
        <v>6588</v>
      </c>
    </row>
    <row r="6" spans="1:4" ht="17.25" x14ac:dyDescent="0.3">
      <c r="A6" s="20">
        <v>3</v>
      </c>
      <c r="B6" s="17" t="s">
        <v>27</v>
      </c>
      <c r="C6" s="34">
        <v>95</v>
      </c>
      <c r="D6" s="35">
        <v>13995</v>
      </c>
    </row>
    <row r="7" spans="1:4" ht="17.25" x14ac:dyDescent="0.3">
      <c r="A7" s="20">
        <v>4</v>
      </c>
      <c r="B7" s="17" t="s">
        <v>28</v>
      </c>
      <c r="C7" s="34">
        <v>89</v>
      </c>
      <c r="D7" s="35">
        <v>12456</v>
      </c>
    </row>
    <row r="8" spans="1:4" ht="17.25" x14ac:dyDescent="0.3">
      <c r="A8" s="20">
        <v>5</v>
      </c>
      <c r="B8" s="17" t="s">
        <v>29</v>
      </c>
      <c r="C8" s="34">
        <v>105</v>
      </c>
      <c r="D8" s="35">
        <v>9587</v>
      </c>
    </row>
    <row r="9" spans="1:4" ht="17.25" x14ac:dyDescent="0.3">
      <c r="A9" s="20">
        <v>6</v>
      </c>
      <c r="B9" s="17" t="s">
        <v>31</v>
      </c>
      <c r="C9" s="36">
        <v>112</v>
      </c>
      <c r="D9" s="35">
        <v>9870</v>
      </c>
    </row>
    <row r="10" spans="1:4" ht="17.25" x14ac:dyDescent="0.3">
      <c r="A10" s="20">
        <v>7</v>
      </c>
      <c r="B10" s="17" t="s">
        <v>30</v>
      </c>
      <c r="C10" s="36">
        <v>99</v>
      </c>
      <c r="D10" s="37">
        <v>49564</v>
      </c>
    </row>
  </sheetData>
  <mergeCells count="1">
    <mergeCell ref="A1:D2"/>
  </mergeCells>
  <pageMargins left="0.7" right="0.7" top="0.75" bottom="0.75" header="0.3" footer="0.3"/>
  <pageSetup paperSize="9" orientation="portrait" horizontalDpi="4294967292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C3C06-B98C-4374-A26A-BFD6DAD048CE}">
  <dimension ref="A1:B11"/>
  <sheetViews>
    <sheetView workbookViewId="0">
      <selection activeCell="D16" sqref="D16"/>
    </sheetView>
  </sheetViews>
  <sheetFormatPr baseColWidth="10" defaultRowHeight="15" x14ac:dyDescent="0.25"/>
  <cols>
    <col min="1" max="1" width="29.42578125" bestFit="1" customWidth="1"/>
    <col min="2" max="2" width="22.5703125" customWidth="1"/>
  </cols>
  <sheetData>
    <row r="1" spans="1:2" x14ac:dyDescent="0.25">
      <c r="A1" s="2" t="s">
        <v>24</v>
      </c>
      <c r="B1" t="s">
        <v>33</v>
      </c>
    </row>
    <row r="3" spans="1:2" x14ac:dyDescent="0.25">
      <c r="A3" s="23" t="s">
        <v>84</v>
      </c>
      <c r="B3" s="24" t="s">
        <v>88</v>
      </c>
    </row>
    <row r="4" spans="1:2" x14ac:dyDescent="0.25">
      <c r="A4" s="22">
        <v>80</v>
      </c>
      <c r="B4" s="3">
        <v>6588</v>
      </c>
    </row>
    <row r="5" spans="1:2" x14ac:dyDescent="0.25">
      <c r="A5" s="22">
        <v>89</v>
      </c>
      <c r="B5" s="3">
        <v>12456</v>
      </c>
    </row>
    <row r="6" spans="1:2" x14ac:dyDescent="0.25">
      <c r="A6" s="22">
        <v>95</v>
      </c>
      <c r="B6" s="3">
        <v>13995</v>
      </c>
    </row>
    <row r="7" spans="1:2" x14ac:dyDescent="0.25">
      <c r="A7" s="22">
        <v>99</v>
      </c>
      <c r="B7" s="3">
        <v>49564</v>
      </c>
    </row>
    <row r="8" spans="1:2" x14ac:dyDescent="0.25">
      <c r="A8" s="22">
        <v>105</v>
      </c>
      <c r="B8" s="3">
        <v>9587</v>
      </c>
    </row>
    <row r="9" spans="1:2" x14ac:dyDescent="0.25">
      <c r="A9" s="22">
        <v>112</v>
      </c>
      <c r="B9" s="3">
        <v>9870</v>
      </c>
    </row>
    <row r="10" spans="1:2" x14ac:dyDescent="0.25">
      <c r="A10" s="22">
        <v>129</v>
      </c>
      <c r="B10" s="3">
        <v>44850</v>
      </c>
    </row>
    <row r="11" spans="1:2" x14ac:dyDescent="0.25">
      <c r="A11" s="4" t="s">
        <v>34</v>
      </c>
      <c r="B11" s="3">
        <v>146910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Employés</vt:lpstr>
      <vt:lpstr>Ventes régionales</vt:lpstr>
      <vt:lpstr>Vidéos populaires</vt:lpstr>
      <vt:lpstr>Programmes adhésion</vt:lpstr>
      <vt:lpstr>Analyse des programmes</vt:lpstr>
      <vt:lpstr>Informations_de_contact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 ASSEMIEN</dc:creator>
  <cp:lastModifiedBy>Serge ASSEMIEN</cp:lastModifiedBy>
  <dcterms:created xsi:type="dcterms:W3CDTF">2026-07-18T14:32:46Z</dcterms:created>
  <dcterms:modified xsi:type="dcterms:W3CDTF">2026-08-14T14:23:48Z</dcterms:modified>
</cp:coreProperties>
</file>
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acBook\3D Objects\MOS EXCEL EXPERT 2019-UPDATE\Test Blanc 1_Excel Expert 2019\"/>
    </mc:Choice>
  </mc:AlternateContent>
  <xr:revisionPtr revIDLastSave="0" documentId="13_ncr:1_{8C818913-1C52-4AD9-823B-9EEBC6B8F905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Division commerciale" sheetId="1" r:id="rId1"/>
    <sheet name="Conférence commerciale" sheetId="6" r:id="rId2"/>
    <sheet name="Ventes régionales" sheetId="5" r:id="rId3"/>
    <sheet name="Ventes cumulées" sheetId="3" r:id="rId4"/>
    <sheet name="Résumé des ventes" sheetId="4" r:id="rId5"/>
  </sheets>
  <definedNames>
    <definedName name="Vacances">'Conférence commerciale'!$C$24:$C$26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1" i="3" l="1"/>
  <c r="H30" i="3"/>
  <c r="H21" i="3"/>
  <c r="H19" i="3"/>
  <c r="H29" i="3"/>
  <c r="H28" i="3"/>
  <c r="H27" i="3"/>
  <c r="H26" i="3"/>
  <c r="H25" i="3"/>
  <c r="H24" i="3"/>
  <c r="H23" i="3"/>
  <c r="H22" i="3"/>
  <c r="G4" i="4"/>
  <c r="G5" i="4"/>
  <c r="G6" i="4"/>
  <c r="G7" i="4"/>
  <c r="G8" i="4"/>
  <c r="G9" i="4"/>
  <c r="G10" i="4"/>
  <c r="G11" i="4"/>
  <c r="G12" i="4"/>
  <c r="G13" i="4"/>
  <c r="F13" i="4"/>
  <c r="F12" i="4"/>
  <c r="F11" i="4"/>
  <c r="F10" i="4"/>
  <c r="F9" i="4"/>
  <c r="F8" i="4"/>
  <c r="F7" i="4"/>
  <c r="F6" i="4"/>
  <c r="F5" i="4"/>
  <c r="F4" i="4"/>
  <c r="H20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</calcChain>
</file>

<file path=xl/sharedStrings.xml><?xml version="1.0" encoding="utf-8"?>
<sst xmlns="http://schemas.openxmlformats.org/spreadsheetml/2006/main" count="205" uniqueCount="106">
  <si>
    <t>ID de l'agent</t>
  </si>
  <si>
    <t>Nom</t>
  </si>
  <si>
    <t>Prénom</t>
  </si>
  <si>
    <t>Titre</t>
  </si>
  <si>
    <t>Ville</t>
  </si>
  <si>
    <t>État</t>
  </si>
  <si>
    <t>Responsable</t>
  </si>
  <si>
    <t>Beebe</t>
  </si>
  <si>
    <t>Anne</t>
  </si>
  <si>
    <t>Agent commercial</t>
  </si>
  <si>
    <t>Seattle</t>
  </si>
  <si>
    <t>WA</t>
  </si>
  <si>
    <t>Farinha</t>
  </si>
  <si>
    <t>Nuno</t>
  </si>
  <si>
    <t>Vice-président, Ventes</t>
  </si>
  <si>
    <t>Tacoma</t>
  </si>
  <si>
    <t>Vianu</t>
  </si>
  <si>
    <t>Ioan</t>
  </si>
  <si>
    <t>Kirkland</t>
  </si>
  <si>
    <t>Nygard</t>
  </si>
  <si>
    <t>Mads</t>
  </si>
  <si>
    <t>Redmond</t>
  </si>
  <si>
    <t>Paik</t>
  </si>
  <si>
    <t>Jae</t>
  </si>
  <si>
    <t>Responsable des ventes</t>
  </si>
  <si>
    <t>San Francisco</t>
  </si>
  <si>
    <t>CA</t>
  </si>
  <si>
    <t>Vetten</t>
  </si>
  <si>
    <t>Henk</t>
  </si>
  <si>
    <t>San Jose</t>
  </si>
  <si>
    <t>Waidi</t>
  </si>
  <si>
    <t>Deb</t>
  </si>
  <si>
    <t>Portland</t>
  </si>
  <si>
    <t>OR</t>
  </si>
  <si>
    <t>Wuydtck</t>
  </si>
  <si>
    <t>Carla</t>
  </si>
  <si>
    <t>Coordonnateur des ventes internes</t>
  </si>
  <si>
    <t>Zimpferh</t>
  </si>
  <si>
    <t>Karin</t>
  </si>
  <si>
    <t>Palo Alto</t>
  </si>
  <si>
    <t>Région</t>
  </si>
  <si>
    <t>Territoire / Description</t>
  </si>
  <si>
    <t>Inscription Date limite</t>
  </si>
  <si>
    <t>Lieu</t>
  </si>
  <si>
    <t>Est</t>
  </si>
  <si>
    <t>New York</t>
  </si>
  <si>
    <t>Regency</t>
  </si>
  <si>
    <t>Boston</t>
  </si>
  <si>
    <t>Grand Plaza</t>
  </si>
  <si>
    <t>Sud</t>
  </si>
  <si>
    <t>Atlanta</t>
  </si>
  <si>
    <t>Town and City</t>
  </si>
  <si>
    <t>Dallas</t>
  </si>
  <si>
    <t>Park Place</t>
  </si>
  <si>
    <t>Providence</t>
  </si>
  <si>
    <t>Diamond Green</t>
  </si>
  <si>
    <t>Ouest</t>
  </si>
  <si>
    <t>Plaza Hotel</t>
  </si>
  <si>
    <t>Phoenix</t>
  </si>
  <si>
    <t>Golden Acres Suites</t>
  </si>
  <si>
    <t>Philadelphia</t>
  </si>
  <si>
    <t>Palm Meadows</t>
  </si>
  <si>
    <t>Nord</t>
  </si>
  <si>
    <t>Minneapolis</t>
  </si>
  <si>
    <t>Crowne Inn</t>
  </si>
  <si>
    <t>VanArsdel Limited</t>
  </si>
  <si>
    <t>Programme de la conférence</t>
  </si>
  <si>
    <t>ID Agent</t>
  </si>
  <si>
    <t>Region</t>
  </si>
  <si>
    <t>Territoire</t>
  </si>
  <si>
    <t>Trimestre 1</t>
  </si>
  <si>
    <t>Trimestre 2</t>
  </si>
  <si>
    <t>Trimestre 3</t>
  </si>
  <si>
    <t>Trimestre 4</t>
  </si>
  <si>
    <t>Ventes totales</t>
  </si>
  <si>
    <t>Agent</t>
  </si>
  <si>
    <t>Moyenne</t>
  </si>
  <si>
    <t>Newark</t>
  </si>
  <si>
    <t>Wilton</t>
  </si>
  <si>
    <t>Bedford</t>
  </si>
  <si>
    <t>Braintree</t>
  </si>
  <si>
    <t>Cambridge</t>
  </si>
  <si>
    <t>Columbia</t>
  </si>
  <si>
    <t>Orlando</t>
  </si>
  <si>
    <t>Savannah</t>
  </si>
  <si>
    <t>Tampa</t>
  </si>
  <si>
    <t>Prévisions des ventes</t>
  </si>
  <si>
    <t>Ventes moyennes 
par Région et Agent</t>
  </si>
  <si>
    <t>Division commerciale</t>
  </si>
  <si>
    <t>Résumé des ventes par agent</t>
  </si>
  <si>
    <t>SGCI banque</t>
  </si>
  <si>
    <t>SIB banque</t>
  </si>
  <si>
    <t>CITI banque</t>
  </si>
  <si>
    <t>BNI banque</t>
  </si>
  <si>
    <t>NSIABanque</t>
  </si>
  <si>
    <t>CORIS banque</t>
  </si>
  <si>
    <t>ORANGE banque</t>
  </si>
  <si>
    <t>ORA banque</t>
  </si>
  <si>
    <t>VERSUS banque</t>
  </si>
  <si>
    <t>Total Général
Pourcentage</t>
  </si>
  <si>
    <t>Total général des ventes</t>
  </si>
  <si>
    <t>(Tous)</t>
  </si>
  <si>
    <t>Étiquettes de lignes</t>
  </si>
  <si>
    <t>Total général</t>
  </si>
  <si>
    <t>Somme de Ventes totales</t>
  </si>
  <si>
    <t>Conférence
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</si>
</sst>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4"/>
      <color theme="1"/>
      <name val="Century Gothic"/>
      <family val="2"/>
    </font>
    <font>
      <b/>
      <sz val="22"/>
      <color theme="1"/>
      <name val="Century Gothic"/>
      <family val="2"/>
    </font>
    <font>
      <b/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4" fontId="0" fillId="0" borderId="0" xfId="0" applyNumberFormat="1"/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 inden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left" vertical="center" wrapText="1" indent="1"/>
    </xf>
    <xf numFmtId="0" fontId="4" fillId="0" borderId="9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2" fillId="0" borderId="5" xfId="0" applyFont="1" applyBorder="1" applyAlignment="1">
      <alignment horizontal="left"/>
    </xf>
    <xf numFmtId="164" fontId="2" fillId="0" borderId="1" xfId="0" applyNumberFormat="1" applyFont="1" applyBorder="1"/>
    <xf numFmtId="0" fontId="1" fillId="3" borderId="10" xfId="0" applyFont="1" applyFill="1" applyBorder="1" applyAlignment="1">
      <alignment horizontal="right"/>
    </xf>
    <xf numFmtId="164" fontId="1" fillId="3" borderId="10" xfId="0" applyNumberFormat="1" applyFont="1" applyFill="1" applyBorder="1" applyAlignment="1">
      <alignment horizontal="right"/>
    </xf>
    <xf numFmtId="164" fontId="1" fillId="0" borderId="8" xfId="0" applyNumberFormat="1" applyFont="1" applyBorder="1"/>
    <xf numFmtId="9" fontId="2" fillId="0" borderId="6" xfId="0" applyNumberFormat="1" applyFont="1" applyBorder="1"/>
    <xf numFmtId="9" fontId="1" fillId="0" borderId="9" xfId="0" applyNumberFormat="1" applyFont="1" applyBorder="1"/>
    <xf numFmtId="0" fontId="0" fillId="0" borderId="0" xfId="0" pivotButton="1"/>
    <xf numFmtId="0" fontId="0" fillId="0" borderId="0" xfId="0" applyNumberFormat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2" fontId="0" fillId="0" borderId="0" xfId="0" applyNumberFormat="1"/>
    <xf numFmtId="0" fontId="2" fillId="0" borderId="5" xfId="0" applyFont="1" applyBorder="1" applyAlignment="1">
      <alignment horizontal="center"/>
    </xf>
    <xf numFmtId="0" fontId="2" fillId="0" borderId="1" xfId="0" applyFont="1" applyBorder="1"/>
    <xf numFmtId="164" fontId="2" fillId="0" borderId="6" xfId="0" applyNumberFormat="1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56"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9" formatCode="dd/mm/yyyy"/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24.82455798611" createdVersion="8" refreshedVersion="8" minRefreshableVersion="3" recordCount="28" xr:uid="{074E741C-ACA7-41F7-8670-51F8A24B8A24}">
  <cacheSource type="worksheet">
    <worksheetSource name="Ventes"/>
  </cacheSource>
  <cacheFields count="8">
    <cacheField name="ID Agent" numFmtId="0">
      <sharedItems containsSemiMixedTypes="0" containsString="0" containsNumber="1" containsInteger="1" minValue="1" maxValue="9" count="9">
        <n v="1"/>
        <n v="2"/>
        <n v="3"/>
        <n v="7"/>
        <n v="8"/>
        <n v="9"/>
        <n v="4"/>
        <n v="5"/>
        <n v="6"/>
      </sharedItems>
    </cacheField>
    <cacheField name="Region" numFmtId="0">
      <sharedItems count="4">
        <s v="Est"/>
        <s v="Sud"/>
        <s v="Ouest"/>
        <s v="Nord"/>
      </sharedItems>
    </cacheField>
    <cacheField name="Territoire" numFmtId="0">
      <sharedItems/>
    </cacheField>
    <cacheField name="Trimestre 1" numFmtId="164">
      <sharedItems containsSemiMixedTypes="0" containsString="0" containsNumber="1" containsInteger="1" minValue="1045" maxValue="16789"/>
    </cacheField>
    <cacheField name="Trimestre 2" numFmtId="164">
      <sharedItems containsSemiMixedTypes="0" containsString="0" containsNumber="1" containsInteger="1" minValue="1035" maxValue="15756"/>
    </cacheField>
    <cacheField name="Trimestre 3" numFmtId="164">
      <sharedItems containsSemiMixedTypes="0" containsString="0" containsNumber="1" containsInteger="1" minValue="1032" maxValue="76543"/>
    </cacheField>
    <cacheField name="Trimestre 4" numFmtId="164">
      <sharedItems containsSemiMixedTypes="0" containsString="0" containsNumber="1" containsInteger="1" minValue="1052" maxValue="13781"/>
    </cacheField>
    <cacheField name="Ventes totales" numFmtId="164">
      <sharedItems containsSemiMixedTypes="0" containsString="0" containsNumber="1" containsInteger="1" minValue="4585" maxValue="1015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s v="New York"/>
    <n v="9845"/>
    <n v="10042"/>
    <n v="10140"/>
    <n v="10238"/>
    <n v="40265"/>
  </r>
  <r>
    <x v="0"/>
    <x v="0"/>
    <s v="Newark"/>
    <n v="5579"/>
    <n v="5710"/>
    <n v="6776"/>
    <n v="6042"/>
    <n v="24107"/>
  </r>
  <r>
    <x v="0"/>
    <x v="0"/>
    <s v="Wilton"/>
    <n v="9984"/>
    <n v="10184"/>
    <n v="10284"/>
    <n v="10383"/>
    <n v="40835"/>
  </r>
  <r>
    <x v="1"/>
    <x v="0"/>
    <s v="Bedford"/>
    <n v="4275"/>
    <n v="4305"/>
    <n v="4403"/>
    <n v="4446"/>
    <n v="17429"/>
  </r>
  <r>
    <x v="1"/>
    <x v="0"/>
    <s v="Boston"/>
    <n v="7855"/>
    <n v="7991"/>
    <n v="8700"/>
    <n v="8148"/>
    <n v="32694"/>
  </r>
  <r>
    <x v="1"/>
    <x v="0"/>
    <s v="Braintree"/>
    <n v="9850"/>
    <n v="10047"/>
    <n v="10145"/>
    <n v="10244"/>
    <n v="40286"/>
  </r>
  <r>
    <x v="1"/>
    <x v="0"/>
    <s v="Cambridge"/>
    <n v="9588"/>
    <n v="9797"/>
    <n v="9875"/>
    <n v="9971"/>
    <n v="39231"/>
  </r>
  <r>
    <x v="2"/>
    <x v="1"/>
    <s v="Atlanta"/>
    <n v="10987"/>
    <n v="11026"/>
    <n v="11316"/>
    <n v="11426"/>
    <n v="44755"/>
  </r>
  <r>
    <x v="2"/>
    <x v="1"/>
    <s v="Columbia"/>
    <n v="6431"/>
    <n v="6559"/>
    <n v="6623"/>
    <n v="6688"/>
    <n v="26301"/>
  </r>
  <r>
    <x v="2"/>
    <x v="1"/>
    <s v="Orlando"/>
    <n v="10985"/>
    <n v="11204"/>
    <n v="11314"/>
    <n v="11424"/>
    <n v="44927"/>
  </r>
  <r>
    <x v="2"/>
    <x v="1"/>
    <s v="Savannah"/>
    <n v="7985"/>
    <n v="8144"/>
    <n v="8224"/>
    <n v="8304"/>
    <n v="32657"/>
  </r>
  <r>
    <x v="2"/>
    <x v="1"/>
    <s v="Tampa"/>
    <n v="11874"/>
    <n v="12111"/>
    <n v="12230"/>
    <n v="12348"/>
    <n v="48563"/>
  </r>
  <r>
    <x v="3"/>
    <x v="2"/>
    <s v="San Francisco"/>
    <n v="10250"/>
    <n v="10455"/>
    <n v="10664"/>
    <n v="10877"/>
    <n v="42246"/>
  </r>
  <r>
    <x v="3"/>
    <x v="2"/>
    <s v="Phoenix"/>
    <n v="8540"/>
    <n v="8710"/>
    <n v="8820"/>
    <n v="9035"/>
    <n v="35105"/>
  </r>
  <r>
    <x v="4"/>
    <x v="2"/>
    <s v="Seattle"/>
    <n v="9230"/>
    <n v="9405"/>
    <n v="9593"/>
    <n v="9785"/>
    <n v="38013"/>
  </r>
  <r>
    <x v="4"/>
    <x v="2"/>
    <s v="San Francisco"/>
    <n v="1567"/>
    <n v="1466"/>
    <n v="1365"/>
    <n v="1364"/>
    <n v="5762"/>
  </r>
  <r>
    <x v="5"/>
    <x v="3"/>
    <s v="Minneapolis"/>
    <n v="7340"/>
    <n v="7487"/>
    <n v="7637"/>
    <n v="7790"/>
    <n v="30254"/>
  </r>
  <r>
    <x v="5"/>
    <x v="3"/>
    <s v="Atlanta"/>
    <n v="6340"/>
    <n v="6487"/>
    <n v="6637"/>
    <n v="6790"/>
    <n v="26254"/>
  </r>
  <r>
    <x v="6"/>
    <x v="0"/>
    <s v="Boston"/>
    <n v="6789"/>
    <n v="5678"/>
    <n v="4567"/>
    <n v="3897"/>
    <n v="20931"/>
  </r>
  <r>
    <x v="6"/>
    <x v="0"/>
    <s v="Phoenix"/>
    <n v="8456"/>
    <n v="7654"/>
    <n v="6542"/>
    <n v="5897"/>
    <n v="28549"/>
  </r>
  <r>
    <x v="7"/>
    <x v="1"/>
    <s v="Atlanta"/>
    <n v="9875"/>
    <n v="8174"/>
    <n v="76543"/>
    <n v="6984"/>
    <n v="101576"/>
  </r>
  <r>
    <x v="7"/>
    <x v="1"/>
    <s v="Columbia"/>
    <n v="1045"/>
    <n v="1035"/>
    <n v="1032"/>
    <n v="9760"/>
    <n v="12872"/>
  </r>
  <r>
    <x v="8"/>
    <x v="0"/>
    <s v="Boston"/>
    <n v="8913"/>
    <n v="8675"/>
    <n v="8542"/>
    <n v="8499"/>
    <n v="34629"/>
  </r>
  <r>
    <x v="8"/>
    <x v="0"/>
    <s v="Braintree"/>
    <n v="1276"/>
    <n v="1190"/>
    <n v="1067"/>
    <n v="1052"/>
    <n v="4585"/>
  </r>
  <r>
    <x v="4"/>
    <x v="1"/>
    <s v="Orlando"/>
    <n v="16789"/>
    <n v="15756"/>
    <n v="14590"/>
    <n v="13781"/>
    <n v="60916"/>
  </r>
  <r>
    <x v="4"/>
    <x v="1"/>
    <s v="Atlanta"/>
    <n v="9014"/>
    <n v="9013"/>
    <n v="9012"/>
    <n v="9011"/>
    <n v="36050"/>
  </r>
  <r>
    <x v="5"/>
    <x v="0"/>
    <s v="Boston"/>
    <n v="8764"/>
    <n v="8665"/>
    <n v="8563"/>
    <n v="8431"/>
    <n v="34423"/>
  </r>
  <r>
    <x v="5"/>
    <x v="0"/>
    <s v="New York"/>
    <n v="9076"/>
    <n v="9875"/>
    <n v="8745"/>
    <n v="7316"/>
    <n v="350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B910B-4B26-4149-B580-9C4F6BF012E9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8">
    <pivotField axis="axisPage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dataField="1" numFmtId="16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omme de Ventes tot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visionCommerciale" displayName="DivisionCommerciale" ref="A3:G12" headerRowDxfId="55" dataDxfId="53" totalsRowDxfId="51" headerRowBorderDxfId="54" tableBorderDxfId="52">
  <autoFilter ref="A3:G1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ID de l'agent" dataDxfId="50"/>
    <tableColumn id="2" xr3:uid="{00000000-0010-0000-0000-000002000000}" name="Nom" dataDxfId="49"/>
    <tableColumn id="3" xr3:uid="{00000000-0010-0000-0000-000003000000}" name="Prénom" dataDxfId="48"/>
    <tableColumn id="4" xr3:uid="{00000000-0010-0000-0000-000004000000}" name="Titre" dataDxfId="47"/>
    <tableColumn id="5" xr3:uid="{00000000-0010-0000-0000-000005000000}" name="Ville" dataDxfId="46"/>
    <tableColumn id="6" xr3:uid="{00000000-0010-0000-0000-000006000000}" name="État" dataDxfId="45"/>
    <tableColumn id="7" xr3:uid="{00000000-0010-0000-0000-000007000000}" name="Responsable" dataDxfId="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EA8644-3D75-465F-9B52-339DC715B96A}" name="Tableau27" displayName="Tableau27" ref="A3:F12" totalsRowShown="0" headerRowDxfId="43" dataDxfId="41" headerRowBorderDxfId="42" tableBorderDxfId="40" totalsRowBorderDxfId="39">
  <autoFilter ref="A3:F12" xr:uid="{8CBF3095-B922-46AF-BC5E-8A372B1EE7B4}"/>
  <tableColumns count="6">
    <tableColumn id="1" xr3:uid="{D0CA5743-701D-4C4A-8B29-F0E64B967A14}" name="ID de l'agent" dataDxfId="5"/>
    <tableColumn id="2" xr3:uid="{F8CF65C6-3F56-4CAE-A3EA-A213F874CD16}" name="Région" dataDxfId="4"/>
    <tableColumn id="3" xr3:uid="{A42C9C5C-080B-4C80-98B5-6BD76FBB1712}" name="Territoire / Description" dataDxfId="3"/>
    <tableColumn id="4" xr3:uid="{3BBA51A9-1A94-4240-AEAA-3C59D2940AE0}" name="Inscription Date limite" dataDxfId="2"/>
    <tableColumn id="5" xr3:uid="{BA11434D-0840-4B6D-9442-49907F08A176}" name="Conférence_x000a_ Date" dataDxfId="0"/>
    <tableColumn id="6" xr3:uid="{7CF22031-A755-4499-A708-BDAF4D2B53D3}" name="Lieu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37BC9F-BA8A-4D4E-B8CD-2259B14C8D05}" name="Ventes" displayName="Ventes" ref="A3:H31" headerRowDxfId="38" dataDxfId="36" totalsRowDxfId="34" headerRowBorderDxfId="37" tableBorderDxfId="35">
  <autoFilter ref="A3:H3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343E13B-4E31-4D55-B709-C0563F7DA3C6}" name="ID Agent" dataDxfId="33"/>
    <tableColumn id="2" xr3:uid="{19D6CA88-4A8C-481D-AAE6-E831B90A6A91}" name="Region" dataDxfId="32"/>
    <tableColumn id="3" xr3:uid="{31CB7D4A-3BC6-4AF9-A57E-9E89CFBA56B1}" name="Territoire" dataDxfId="31"/>
    <tableColumn id="4" xr3:uid="{0F43D7A9-6627-4470-BC80-E3458BA1A32F}" name="Trimestre 1" dataDxfId="30"/>
    <tableColumn id="5" xr3:uid="{AFE41372-A909-4938-BBEB-B030612C38E3}" name="Trimestre 2" dataDxfId="29"/>
    <tableColumn id="6" xr3:uid="{B1FEE782-0D6D-42CC-A0D7-78C46F56A9F4}" name="Trimestre 3" dataDxfId="28"/>
    <tableColumn id="7" xr3:uid="{36B5AAC1-1745-48EC-B0F6-FCA88B1FA8A3}" name="Trimestre 4" dataDxfId="27"/>
    <tableColumn id="8" xr3:uid="{73100D11-9DD9-47A3-8903-55099BAEBFA2}" name="Ventes totales" dataDxfId="26">
      <calculatedColumnFormula>SUM(D4:G4)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FDF72A-6610-47F0-8115-4ED196A41EEF}" name="Tableau4" displayName="Tableau4" ref="J4:L15" totalsRowShown="0" headerRowDxfId="25" dataDxfId="23" headerRowBorderDxfId="24" tableBorderDxfId="22" totalsRowBorderDxfId="21">
  <autoFilter ref="J4:L15" xr:uid="{FCFDF72A-6610-47F0-8115-4ED196A41EEF}"/>
  <tableColumns count="3">
    <tableColumn id="1" xr3:uid="{7DB7DE8F-EF0A-4B9C-A6E7-2E7CEFFE9302}" name="Region" dataDxfId="20"/>
    <tableColumn id="2" xr3:uid="{94B3419A-B761-4138-9180-A0BD44FAC99C}" name="Agent" dataDxfId="19"/>
    <tableColumn id="3" xr3:uid="{4045CAE0-E1BE-4BCC-889C-82A98747FC99}" name="Moyenne" dataDxfId="1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C1E2F2-9FD9-4250-81B1-72D6928A62CF}" name="Ventes6" displayName="Ventes6" ref="A3:G13" headerRowDxfId="17" dataDxfId="15" totalsRowDxfId="13" headerRowBorderDxfId="16" tableBorderDxfId="14">
  <autoFilter ref="A3:G1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C471BC3-7E63-47B4-8142-CDA424F96E3C}" name="Agent" dataDxfId="12"/>
    <tableColumn id="4" xr3:uid="{A9F98A95-9B12-409C-A2D5-D40B2AB50EB7}" name="Trimestre 1" dataDxfId="11"/>
    <tableColumn id="5" xr3:uid="{0578DE20-1018-4797-AEAB-58FFE00082DC}" name="Trimestre 2" dataDxfId="10"/>
    <tableColumn id="6" xr3:uid="{B67732F7-8D36-4E98-BEF6-227F5374AA55}" name="Trimestre 3" dataDxfId="9"/>
    <tableColumn id="7" xr3:uid="{51D7CD20-5D9D-4C23-B684-ECE559EE55A8}" name="Trimestre 4" dataDxfId="8"/>
    <tableColumn id="8" xr3:uid="{80E0DE72-1DB1-4AAB-880F-B4A2EBFCC2CA}" name="Ventes totales" dataDxfId="7">
      <calculatedColumnFormula>SUM(B4:E4)</calculatedColumnFormula>
    </tableColumn>
    <tableColumn id="2" xr3:uid="{546F9BF7-EE22-42D7-832C-8D2B791373AF}" name="Total Général_x000a_Pourcentage" dataDxfId="6">
      <calculatedColumnFormula>Ventes6[[#This Row],[Ventes totales]]/$F$13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8" customWidth="1"/>
    <col min="2" max="2" width="13" customWidth="1"/>
    <col min="3" max="3" width="12.5703125" customWidth="1"/>
    <col min="4" max="4" width="42.140625" customWidth="1"/>
    <col min="5" max="5" width="17.7109375" customWidth="1"/>
    <col min="6" max="6" width="9.42578125" customWidth="1"/>
    <col min="7" max="7" width="16.7109375" customWidth="1"/>
  </cols>
  <sheetData>
    <row r="1" spans="1:7" ht="28.5" x14ac:dyDescent="0.4">
      <c r="A1" s="50" t="s">
        <v>65</v>
      </c>
      <c r="B1" s="50"/>
      <c r="C1" s="50"/>
      <c r="D1" s="50"/>
      <c r="E1" s="50"/>
      <c r="F1" s="50"/>
      <c r="G1" s="2"/>
    </row>
    <row r="2" spans="1:7" ht="18" x14ac:dyDescent="0.25">
      <c r="A2" s="51" t="s">
        <v>88</v>
      </c>
      <c r="B2" s="51"/>
      <c r="C2" s="51"/>
      <c r="D2" s="51"/>
      <c r="E2" s="51"/>
      <c r="F2" s="51"/>
      <c r="G2" s="3"/>
    </row>
    <row r="3" spans="1:7" x14ac:dyDescent="0.25">
      <c r="A3" s="22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3" t="s">
        <v>5</v>
      </c>
      <c r="G3" s="24" t="s">
        <v>6</v>
      </c>
    </row>
    <row r="4" spans="1:7" ht="17.25" x14ac:dyDescent="0.3">
      <c r="A4" s="25">
        <v>1</v>
      </c>
      <c r="B4" s="26" t="s">
        <v>7</v>
      </c>
      <c r="C4" s="26" t="s">
        <v>8</v>
      </c>
      <c r="D4" s="26" t="s">
        <v>9</v>
      </c>
      <c r="E4" s="26" t="s">
        <v>10</v>
      </c>
      <c r="F4" s="26" t="s">
        <v>11</v>
      </c>
      <c r="G4" s="27" t="s">
        <v>12</v>
      </c>
    </row>
    <row r="5" spans="1:7" ht="17.25" x14ac:dyDescent="0.3">
      <c r="A5" s="25">
        <v>5</v>
      </c>
      <c r="B5" s="26" t="s">
        <v>12</v>
      </c>
      <c r="C5" s="26" t="s">
        <v>13</v>
      </c>
      <c r="D5" s="26" t="s">
        <v>14</v>
      </c>
      <c r="E5" s="26" t="s">
        <v>15</v>
      </c>
      <c r="F5" s="26" t="s">
        <v>11</v>
      </c>
      <c r="G5" s="27"/>
    </row>
    <row r="6" spans="1:7" ht="17.25" x14ac:dyDescent="0.3">
      <c r="A6" s="25">
        <v>2</v>
      </c>
      <c r="B6" s="26" t="s">
        <v>16</v>
      </c>
      <c r="C6" s="26" t="s">
        <v>17</v>
      </c>
      <c r="D6" s="26" t="s">
        <v>9</v>
      </c>
      <c r="E6" s="26" t="s">
        <v>18</v>
      </c>
      <c r="F6" s="26" t="s">
        <v>11</v>
      </c>
      <c r="G6" s="27" t="s">
        <v>12</v>
      </c>
    </row>
    <row r="7" spans="1:7" ht="17.25" x14ac:dyDescent="0.3">
      <c r="A7" s="25">
        <v>4</v>
      </c>
      <c r="B7" s="26" t="s">
        <v>19</v>
      </c>
      <c r="C7" s="26" t="s">
        <v>20</v>
      </c>
      <c r="D7" s="26" t="s">
        <v>9</v>
      </c>
      <c r="E7" s="26" t="s">
        <v>21</v>
      </c>
      <c r="F7" s="26" t="s">
        <v>11</v>
      </c>
      <c r="G7" s="27" t="s">
        <v>12</v>
      </c>
    </row>
    <row r="8" spans="1:7" ht="17.25" x14ac:dyDescent="0.3">
      <c r="A8" s="25">
        <v>5</v>
      </c>
      <c r="B8" s="26" t="s">
        <v>22</v>
      </c>
      <c r="C8" s="26" t="s">
        <v>23</v>
      </c>
      <c r="D8" s="26" t="s">
        <v>24</v>
      </c>
      <c r="E8" s="26" t="s">
        <v>25</v>
      </c>
      <c r="F8" s="26" t="s">
        <v>26</v>
      </c>
      <c r="G8" s="27"/>
    </row>
    <row r="9" spans="1:7" ht="17.25" x14ac:dyDescent="0.3">
      <c r="A9" s="25">
        <v>6</v>
      </c>
      <c r="B9" s="26" t="s">
        <v>27</v>
      </c>
      <c r="C9" s="26" t="s">
        <v>28</v>
      </c>
      <c r="D9" s="26" t="s">
        <v>9</v>
      </c>
      <c r="E9" s="26" t="s">
        <v>29</v>
      </c>
      <c r="F9" s="26" t="s">
        <v>26</v>
      </c>
      <c r="G9" s="27" t="s">
        <v>22</v>
      </c>
    </row>
    <row r="10" spans="1:7" ht="17.25" x14ac:dyDescent="0.3">
      <c r="A10" s="25">
        <v>7</v>
      </c>
      <c r="B10" s="26" t="s">
        <v>30</v>
      </c>
      <c r="C10" s="26" t="s">
        <v>31</v>
      </c>
      <c r="D10" s="26" t="s">
        <v>9</v>
      </c>
      <c r="E10" s="26" t="s">
        <v>32</v>
      </c>
      <c r="F10" s="26" t="s">
        <v>33</v>
      </c>
      <c r="G10" s="27" t="s">
        <v>22</v>
      </c>
    </row>
    <row r="11" spans="1:7" ht="17.25" x14ac:dyDescent="0.3">
      <c r="A11" s="25">
        <v>8</v>
      </c>
      <c r="B11" s="26" t="s">
        <v>34</v>
      </c>
      <c r="C11" s="26" t="s">
        <v>35</v>
      </c>
      <c r="D11" s="26" t="s">
        <v>36</v>
      </c>
      <c r="E11" s="26" t="s">
        <v>10</v>
      </c>
      <c r="F11" s="26" t="s">
        <v>11</v>
      </c>
      <c r="G11" s="27" t="s">
        <v>12</v>
      </c>
    </row>
    <row r="12" spans="1:7" ht="17.25" x14ac:dyDescent="0.3">
      <c r="A12" s="28">
        <v>9</v>
      </c>
      <c r="B12" s="29" t="s">
        <v>37</v>
      </c>
      <c r="C12" s="29" t="s">
        <v>38</v>
      </c>
      <c r="D12" s="29" t="s">
        <v>9</v>
      </c>
      <c r="E12" s="29" t="s">
        <v>39</v>
      </c>
      <c r="F12" s="29" t="s">
        <v>26</v>
      </c>
      <c r="G12" s="30" t="s">
        <v>22</v>
      </c>
    </row>
  </sheetData>
  <mergeCells count="2">
    <mergeCell ref="A1:F1"/>
    <mergeCell ref="A2:F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9077-B226-43C7-9D4F-3ED9EAB00585}">
  <dimension ref="A1:F26"/>
  <sheetViews>
    <sheetView tabSelected="1" workbookViewId="0">
      <selection activeCell="E15" sqref="E15"/>
    </sheetView>
  </sheetViews>
  <sheetFormatPr baseColWidth="10" defaultRowHeight="15" x14ac:dyDescent="0.25"/>
  <cols>
    <col min="1" max="1" width="16.7109375" customWidth="1"/>
    <col min="2" max="2" width="14.5703125" customWidth="1"/>
    <col min="3" max="3" width="23" customWidth="1"/>
    <col min="4" max="4" width="21.5703125" customWidth="1"/>
    <col min="5" max="5" width="26.85546875" customWidth="1"/>
    <col min="6" max="6" width="25.85546875" customWidth="1"/>
  </cols>
  <sheetData>
    <row r="1" spans="1:6" ht="25.5" customHeight="1" x14ac:dyDescent="0.4">
      <c r="A1" s="50" t="s">
        <v>65</v>
      </c>
      <c r="B1" s="50"/>
      <c r="C1" s="50"/>
      <c r="D1" s="50"/>
      <c r="E1" s="50"/>
      <c r="F1" s="50"/>
    </row>
    <row r="2" spans="1:6" ht="26.25" customHeight="1" x14ac:dyDescent="0.25">
      <c r="A2" s="51" t="s">
        <v>66</v>
      </c>
      <c r="B2" s="51"/>
      <c r="C2" s="51"/>
      <c r="D2" s="51"/>
      <c r="E2" s="51"/>
      <c r="F2" s="51"/>
    </row>
    <row r="3" spans="1:6" ht="30" x14ac:dyDescent="0.25">
      <c r="A3" s="15" t="s">
        <v>0</v>
      </c>
      <c r="B3" s="13" t="s">
        <v>40</v>
      </c>
      <c r="C3" s="13" t="s">
        <v>41</v>
      </c>
      <c r="D3" s="13" t="s">
        <v>42</v>
      </c>
      <c r="E3" s="13" t="s">
        <v>105</v>
      </c>
      <c r="F3" s="54" t="s">
        <v>43</v>
      </c>
    </row>
    <row r="4" spans="1:6" ht="17.25" x14ac:dyDescent="0.25">
      <c r="A4" s="16">
        <v>1</v>
      </c>
      <c r="B4" s="55" t="s">
        <v>44</v>
      </c>
      <c r="C4" s="55" t="s">
        <v>45</v>
      </c>
      <c r="D4" s="17"/>
      <c r="E4" s="57">
        <v>46622</v>
      </c>
      <c r="F4" s="18" t="s">
        <v>46</v>
      </c>
    </row>
    <row r="5" spans="1:6" ht="17.25" x14ac:dyDescent="0.25">
      <c r="A5" s="16">
        <v>2</v>
      </c>
      <c r="B5" s="55" t="s">
        <v>44</v>
      </c>
      <c r="C5" s="55" t="s">
        <v>47</v>
      </c>
      <c r="D5" s="17"/>
      <c r="E5" s="57">
        <v>46302</v>
      </c>
      <c r="F5" s="18" t="s">
        <v>48</v>
      </c>
    </row>
    <row r="6" spans="1:6" ht="17.25" x14ac:dyDescent="0.25">
      <c r="A6" s="16">
        <v>3</v>
      </c>
      <c r="B6" s="55" t="s">
        <v>49</v>
      </c>
      <c r="C6" s="55" t="s">
        <v>50</v>
      </c>
      <c r="D6" s="17"/>
      <c r="E6" s="57">
        <v>46347</v>
      </c>
      <c r="F6" s="18" t="s">
        <v>51</v>
      </c>
    </row>
    <row r="7" spans="1:6" ht="17.25" x14ac:dyDescent="0.25">
      <c r="A7" s="16">
        <v>4</v>
      </c>
      <c r="B7" s="55" t="s">
        <v>49</v>
      </c>
      <c r="C7" s="55" t="s">
        <v>52</v>
      </c>
      <c r="D7" s="17"/>
      <c r="E7" s="57">
        <v>46392</v>
      </c>
      <c r="F7" s="18" t="s">
        <v>53</v>
      </c>
    </row>
    <row r="8" spans="1:6" ht="17.25" x14ac:dyDescent="0.25">
      <c r="A8" s="16">
        <v>5</v>
      </c>
      <c r="B8" s="55" t="s">
        <v>44</v>
      </c>
      <c r="C8" s="55" t="s">
        <v>54</v>
      </c>
      <c r="D8" s="17"/>
      <c r="E8" s="57">
        <v>46437</v>
      </c>
      <c r="F8" s="18" t="s">
        <v>55</v>
      </c>
    </row>
    <row r="9" spans="1:6" ht="17.25" x14ac:dyDescent="0.25">
      <c r="A9" s="16">
        <v>6</v>
      </c>
      <c r="B9" s="55" t="s">
        <v>56</v>
      </c>
      <c r="C9" s="55" t="s">
        <v>25</v>
      </c>
      <c r="D9" s="17"/>
      <c r="E9" s="57">
        <v>46482</v>
      </c>
      <c r="F9" s="18" t="s">
        <v>57</v>
      </c>
    </row>
    <row r="10" spans="1:6" ht="21" customHeight="1" x14ac:dyDescent="0.25">
      <c r="A10" s="16">
        <v>7</v>
      </c>
      <c r="B10" s="55" t="s">
        <v>56</v>
      </c>
      <c r="C10" s="55" t="s">
        <v>58</v>
      </c>
      <c r="D10" s="17"/>
      <c r="E10" s="57">
        <v>46527</v>
      </c>
      <c r="F10" s="18" t="s">
        <v>59</v>
      </c>
    </row>
    <row r="11" spans="1:6" ht="17.25" x14ac:dyDescent="0.25">
      <c r="A11" s="16">
        <v>8</v>
      </c>
      <c r="B11" s="55" t="s">
        <v>44</v>
      </c>
      <c r="C11" s="55" t="s">
        <v>60</v>
      </c>
      <c r="D11" s="17"/>
      <c r="E11" s="57">
        <v>46557</v>
      </c>
      <c r="F11" s="18" t="s">
        <v>61</v>
      </c>
    </row>
    <row r="12" spans="1:6" ht="17.25" x14ac:dyDescent="0.25">
      <c r="A12" s="19">
        <v>9</v>
      </c>
      <c r="B12" s="56" t="s">
        <v>62</v>
      </c>
      <c r="C12" s="56" t="s">
        <v>63</v>
      </c>
      <c r="D12" s="20"/>
      <c r="E12" s="58">
        <v>46572</v>
      </c>
      <c r="F12" s="21" t="s">
        <v>64</v>
      </c>
    </row>
    <row r="16" spans="1:6" x14ac:dyDescent="0.25">
      <c r="E16" s="42"/>
    </row>
    <row r="17" spans="3:6" x14ac:dyDescent="0.25">
      <c r="E17" s="1"/>
      <c r="F17" s="1"/>
    </row>
    <row r="18" spans="3:6" x14ac:dyDescent="0.25">
      <c r="E18" s="42"/>
    </row>
    <row r="24" spans="3:6" x14ac:dyDescent="0.25">
      <c r="C24" s="1">
        <v>46430</v>
      </c>
    </row>
    <row r="25" spans="3:6" x14ac:dyDescent="0.25">
      <c r="C25" s="1">
        <v>46478</v>
      </c>
    </row>
    <row r="26" spans="3:6" x14ac:dyDescent="0.25">
      <c r="C26" s="1">
        <v>46550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4294967292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8E21-8041-4C49-B6A3-545461A75664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21" bestFit="1" customWidth="1"/>
    <col min="2" max="2" width="24" bestFit="1" customWidth="1"/>
  </cols>
  <sheetData>
    <row r="1" spans="1:2" x14ac:dyDescent="0.25">
      <c r="A1" s="38" t="s">
        <v>67</v>
      </c>
      <c r="B1" t="s">
        <v>101</v>
      </c>
    </row>
    <row r="3" spans="1:2" x14ac:dyDescent="0.25">
      <c r="A3" s="38" t="s">
        <v>102</v>
      </c>
      <c r="B3" t="s">
        <v>104</v>
      </c>
    </row>
    <row r="4" spans="1:2" x14ac:dyDescent="0.25">
      <c r="A4" s="11" t="s">
        <v>44</v>
      </c>
      <c r="B4" s="39">
        <v>392976</v>
      </c>
    </row>
    <row r="5" spans="1:2" x14ac:dyDescent="0.25">
      <c r="A5" s="11" t="s">
        <v>62</v>
      </c>
      <c r="B5" s="39">
        <v>56508</v>
      </c>
    </row>
    <row r="6" spans="1:2" x14ac:dyDescent="0.25">
      <c r="A6" s="11" t="s">
        <v>56</v>
      </c>
      <c r="B6" s="39">
        <v>121126</v>
      </c>
    </row>
    <row r="7" spans="1:2" x14ac:dyDescent="0.25">
      <c r="A7" s="11" t="s">
        <v>49</v>
      </c>
      <c r="B7" s="39">
        <v>408617</v>
      </c>
    </row>
    <row r="8" spans="1:2" x14ac:dyDescent="0.25">
      <c r="A8" s="11" t="s">
        <v>103</v>
      </c>
      <c r="B8" s="39">
        <v>979227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0A1C-C3D3-48E5-8C40-2C9DA0F76207}">
  <dimension ref="A1:L31"/>
  <sheetViews>
    <sheetView workbookViewId="0">
      <selection activeCell="C15" sqref="C15"/>
    </sheetView>
  </sheetViews>
  <sheetFormatPr baseColWidth="10" defaultColWidth="9.140625" defaultRowHeight="15" x14ac:dyDescent="0.25"/>
  <cols>
    <col min="1" max="1" width="12.85546875" customWidth="1"/>
    <col min="2" max="2" width="12" customWidth="1"/>
    <col min="3" max="4" width="16" customWidth="1"/>
    <col min="5" max="5" width="17.140625" customWidth="1"/>
    <col min="6" max="6" width="17.5703125" customWidth="1"/>
    <col min="7" max="7" width="18" customWidth="1"/>
    <col min="8" max="8" width="18.5703125" customWidth="1"/>
    <col min="10" max="10" width="13.42578125" customWidth="1"/>
    <col min="11" max="11" width="14" customWidth="1"/>
    <col min="12" max="12" width="18.7109375" customWidth="1"/>
  </cols>
  <sheetData>
    <row r="1" spans="1:12" ht="28.5" x14ac:dyDescent="0.4">
      <c r="A1" s="50" t="s">
        <v>65</v>
      </c>
      <c r="B1" s="50"/>
      <c r="C1" s="50"/>
      <c r="D1" s="50"/>
      <c r="E1" s="50"/>
      <c r="F1" s="50"/>
      <c r="G1" s="50"/>
      <c r="H1" s="50"/>
    </row>
    <row r="2" spans="1:12" ht="18" x14ac:dyDescent="0.25">
      <c r="A2" s="51" t="s">
        <v>86</v>
      </c>
      <c r="B2" s="51"/>
      <c r="C2" s="51"/>
      <c r="D2" s="51"/>
      <c r="E2" s="51"/>
      <c r="F2" s="51"/>
      <c r="G2" s="51"/>
      <c r="H2" s="51"/>
      <c r="J2" s="52" t="s">
        <v>87</v>
      </c>
      <c r="K2" s="53"/>
      <c r="L2" s="53"/>
    </row>
    <row r="3" spans="1:12" x14ac:dyDescent="0.25">
      <c r="A3" s="15" t="s">
        <v>67</v>
      </c>
      <c r="B3" s="13" t="s">
        <v>68</v>
      </c>
      <c r="C3" s="13" t="s">
        <v>69</v>
      </c>
      <c r="D3" s="13" t="s">
        <v>70</v>
      </c>
      <c r="E3" s="13" t="s">
        <v>71</v>
      </c>
      <c r="F3" s="13" t="s">
        <v>72</v>
      </c>
      <c r="G3" s="13" t="s">
        <v>73</v>
      </c>
      <c r="H3" s="14" t="s">
        <v>74</v>
      </c>
      <c r="J3" s="53"/>
      <c r="K3" s="53"/>
      <c r="L3" s="53"/>
    </row>
    <row r="4" spans="1:12" ht="16.5" x14ac:dyDescent="0.3">
      <c r="A4" s="43">
        <v>1</v>
      </c>
      <c r="B4" s="44" t="s">
        <v>44</v>
      </c>
      <c r="C4" s="44" t="s">
        <v>45</v>
      </c>
      <c r="D4" s="32">
        <v>9845</v>
      </c>
      <c r="E4" s="32">
        <v>10042</v>
      </c>
      <c r="F4" s="32">
        <v>10140</v>
      </c>
      <c r="G4" s="32">
        <v>10238</v>
      </c>
      <c r="H4" s="45">
        <f t="shared" ref="H4:H20" si="0">SUM(D4:G4)</f>
        <v>40265</v>
      </c>
      <c r="J4" s="4" t="s">
        <v>68</v>
      </c>
      <c r="K4" s="40" t="s">
        <v>75</v>
      </c>
      <c r="L4" s="41" t="s">
        <v>76</v>
      </c>
    </row>
    <row r="5" spans="1:12" ht="16.5" x14ac:dyDescent="0.3">
      <c r="A5" s="43">
        <v>1</v>
      </c>
      <c r="B5" s="44" t="s">
        <v>44</v>
      </c>
      <c r="C5" s="44" t="s">
        <v>77</v>
      </c>
      <c r="D5" s="32">
        <v>5579</v>
      </c>
      <c r="E5" s="32">
        <v>5710</v>
      </c>
      <c r="F5" s="32">
        <v>6776</v>
      </c>
      <c r="G5" s="32">
        <v>6042</v>
      </c>
      <c r="H5" s="45">
        <f t="shared" si="0"/>
        <v>24107</v>
      </c>
      <c r="J5" s="5" t="s">
        <v>44</v>
      </c>
      <c r="K5" s="6">
        <v>1</v>
      </c>
      <c r="L5" s="7"/>
    </row>
    <row r="6" spans="1:12" ht="16.5" x14ac:dyDescent="0.3">
      <c r="A6" s="43">
        <v>1</v>
      </c>
      <c r="B6" s="44" t="s">
        <v>44</v>
      </c>
      <c r="C6" s="44" t="s">
        <v>78</v>
      </c>
      <c r="D6" s="32">
        <v>9984</v>
      </c>
      <c r="E6" s="32">
        <v>10184</v>
      </c>
      <c r="F6" s="32">
        <v>10284</v>
      </c>
      <c r="G6" s="32">
        <v>10383</v>
      </c>
      <c r="H6" s="45">
        <f t="shared" si="0"/>
        <v>40835</v>
      </c>
      <c r="J6" s="5" t="s">
        <v>44</v>
      </c>
      <c r="K6" s="6">
        <v>2</v>
      </c>
      <c r="L6" s="7"/>
    </row>
    <row r="7" spans="1:12" ht="16.5" x14ac:dyDescent="0.3">
      <c r="A7" s="43">
        <v>2</v>
      </c>
      <c r="B7" s="44" t="s">
        <v>44</v>
      </c>
      <c r="C7" s="44" t="s">
        <v>79</v>
      </c>
      <c r="D7" s="32">
        <v>4275</v>
      </c>
      <c r="E7" s="32">
        <v>4305</v>
      </c>
      <c r="F7" s="32">
        <v>4403</v>
      </c>
      <c r="G7" s="32">
        <v>4446</v>
      </c>
      <c r="H7" s="45">
        <f t="shared" si="0"/>
        <v>17429</v>
      </c>
      <c r="J7" s="5" t="s">
        <v>49</v>
      </c>
      <c r="K7" s="6">
        <v>3</v>
      </c>
      <c r="L7" s="7"/>
    </row>
    <row r="8" spans="1:12" ht="16.5" x14ac:dyDescent="0.3">
      <c r="A8" s="43">
        <v>2</v>
      </c>
      <c r="B8" s="44" t="s">
        <v>44</v>
      </c>
      <c r="C8" s="44" t="s">
        <v>47</v>
      </c>
      <c r="D8" s="32">
        <v>7855</v>
      </c>
      <c r="E8" s="32">
        <v>7991</v>
      </c>
      <c r="F8" s="32">
        <v>8700</v>
      </c>
      <c r="G8" s="32">
        <v>8148</v>
      </c>
      <c r="H8" s="45">
        <f t="shared" si="0"/>
        <v>32694</v>
      </c>
      <c r="J8" s="5" t="s">
        <v>44</v>
      </c>
      <c r="K8" s="6">
        <v>4</v>
      </c>
      <c r="L8" s="7"/>
    </row>
    <row r="9" spans="1:12" ht="16.5" x14ac:dyDescent="0.3">
      <c r="A9" s="43">
        <v>2</v>
      </c>
      <c r="B9" s="44" t="s">
        <v>44</v>
      </c>
      <c r="C9" s="44" t="s">
        <v>80</v>
      </c>
      <c r="D9" s="32">
        <v>9850</v>
      </c>
      <c r="E9" s="32">
        <v>10047</v>
      </c>
      <c r="F9" s="32">
        <v>10145</v>
      </c>
      <c r="G9" s="32">
        <v>10244</v>
      </c>
      <c r="H9" s="45">
        <f t="shared" si="0"/>
        <v>40286</v>
      </c>
      <c r="J9" s="5" t="s">
        <v>49</v>
      </c>
      <c r="K9" s="6">
        <v>5</v>
      </c>
      <c r="L9" s="7"/>
    </row>
    <row r="10" spans="1:12" ht="16.5" x14ac:dyDescent="0.3">
      <c r="A10" s="43">
        <v>2</v>
      </c>
      <c r="B10" s="44" t="s">
        <v>44</v>
      </c>
      <c r="C10" s="44" t="s">
        <v>81</v>
      </c>
      <c r="D10" s="32">
        <v>9588</v>
      </c>
      <c r="E10" s="32">
        <v>9797</v>
      </c>
      <c r="F10" s="32">
        <v>9875</v>
      </c>
      <c r="G10" s="32">
        <v>9971</v>
      </c>
      <c r="H10" s="45">
        <f t="shared" si="0"/>
        <v>39231</v>
      </c>
      <c r="J10" s="5" t="s">
        <v>44</v>
      </c>
      <c r="K10" s="6">
        <v>6</v>
      </c>
      <c r="L10" s="7"/>
    </row>
    <row r="11" spans="1:12" ht="16.5" x14ac:dyDescent="0.3">
      <c r="A11" s="43">
        <v>3</v>
      </c>
      <c r="B11" s="44" t="s">
        <v>49</v>
      </c>
      <c r="C11" s="44" t="s">
        <v>50</v>
      </c>
      <c r="D11" s="32">
        <v>10987</v>
      </c>
      <c r="E11" s="32">
        <v>11026</v>
      </c>
      <c r="F11" s="32">
        <v>11316</v>
      </c>
      <c r="G11" s="32">
        <v>11426</v>
      </c>
      <c r="H11" s="45">
        <f t="shared" si="0"/>
        <v>44755</v>
      </c>
      <c r="J11" s="5" t="s">
        <v>56</v>
      </c>
      <c r="K11" s="6">
        <v>7</v>
      </c>
      <c r="L11" s="7"/>
    </row>
    <row r="12" spans="1:12" ht="16.5" x14ac:dyDescent="0.3">
      <c r="A12" s="43">
        <v>3</v>
      </c>
      <c r="B12" s="44" t="s">
        <v>49</v>
      </c>
      <c r="C12" s="44" t="s">
        <v>82</v>
      </c>
      <c r="D12" s="32">
        <v>6431</v>
      </c>
      <c r="E12" s="32">
        <v>6559</v>
      </c>
      <c r="F12" s="32">
        <v>6623</v>
      </c>
      <c r="G12" s="32">
        <v>6688</v>
      </c>
      <c r="H12" s="45">
        <f t="shared" si="0"/>
        <v>26301</v>
      </c>
      <c r="J12" s="5" t="s">
        <v>56</v>
      </c>
      <c r="K12" s="6">
        <v>8</v>
      </c>
      <c r="L12" s="7"/>
    </row>
    <row r="13" spans="1:12" ht="16.5" x14ac:dyDescent="0.3">
      <c r="A13" s="43">
        <v>3</v>
      </c>
      <c r="B13" s="44" t="s">
        <v>49</v>
      </c>
      <c r="C13" s="44" t="s">
        <v>83</v>
      </c>
      <c r="D13" s="32">
        <v>10985</v>
      </c>
      <c r="E13" s="32">
        <v>11204</v>
      </c>
      <c r="F13" s="32">
        <v>11314</v>
      </c>
      <c r="G13" s="32">
        <v>11424</v>
      </c>
      <c r="H13" s="45">
        <f t="shared" si="0"/>
        <v>44927</v>
      </c>
      <c r="J13" s="5" t="s">
        <v>49</v>
      </c>
      <c r="K13" s="6">
        <v>8</v>
      </c>
      <c r="L13" s="7"/>
    </row>
    <row r="14" spans="1:12" ht="16.5" x14ac:dyDescent="0.3">
      <c r="A14" s="43">
        <v>3</v>
      </c>
      <c r="B14" s="44" t="s">
        <v>49</v>
      </c>
      <c r="C14" s="44" t="s">
        <v>84</v>
      </c>
      <c r="D14" s="32">
        <v>7985</v>
      </c>
      <c r="E14" s="32">
        <v>8144</v>
      </c>
      <c r="F14" s="32">
        <v>8224</v>
      </c>
      <c r="G14" s="32">
        <v>8304</v>
      </c>
      <c r="H14" s="45">
        <f t="shared" si="0"/>
        <v>32657</v>
      </c>
      <c r="J14" s="5" t="s">
        <v>44</v>
      </c>
      <c r="K14" s="6">
        <v>9</v>
      </c>
      <c r="L14" s="7"/>
    </row>
    <row r="15" spans="1:12" ht="16.5" x14ac:dyDescent="0.3">
      <c r="A15" s="43">
        <v>3</v>
      </c>
      <c r="B15" s="44" t="s">
        <v>49</v>
      </c>
      <c r="C15" s="44" t="s">
        <v>85</v>
      </c>
      <c r="D15" s="32">
        <v>11874</v>
      </c>
      <c r="E15" s="32">
        <v>12111</v>
      </c>
      <c r="F15" s="32">
        <v>12230</v>
      </c>
      <c r="G15" s="32">
        <v>12348</v>
      </c>
      <c r="H15" s="45">
        <f t="shared" si="0"/>
        <v>48563</v>
      </c>
      <c r="J15" s="8" t="s">
        <v>62</v>
      </c>
      <c r="K15" s="9">
        <v>9</v>
      </c>
      <c r="L15" s="10"/>
    </row>
    <row r="16" spans="1:12" ht="16.5" x14ac:dyDescent="0.3">
      <c r="A16" s="43">
        <v>7</v>
      </c>
      <c r="B16" s="44" t="s">
        <v>56</v>
      </c>
      <c r="C16" s="44" t="s">
        <v>25</v>
      </c>
      <c r="D16" s="32">
        <v>10250</v>
      </c>
      <c r="E16" s="32">
        <v>10455</v>
      </c>
      <c r="F16" s="32">
        <v>10664</v>
      </c>
      <c r="G16" s="32">
        <v>10877</v>
      </c>
      <c r="H16" s="45">
        <f t="shared" si="0"/>
        <v>42246</v>
      </c>
    </row>
    <row r="17" spans="1:8" ht="16.5" x14ac:dyDescent="0.3">
      <c r="A17" s="43">
        <v>7</v>
      </c>
      <c r="B17" s="44" t="s">
        <v>56</v>
      </c>
      <c r="C17" s="44" t="s">
        <v>58</v>
      </c>
      <c r="D17" s="32">
        <v>8540</v>
      </c>
      <c r="E17" s="32">
        <v>8710</v>
      </c>
      <c r="F17" s="32">
        <v>8820</v>
      </c>
      <c r="G17" s="32">
        <v>9035</v>
      </c>
      <c r="H17" s="45">
        <f t="shared" si="0"/>
        <v>35105</v>
      </c>
    </row>
    <row r="18" spans="1:8" ht="16.5" x14ac:dyDescent="0.3">
      <c r="A18" s="43">
        <v>8</v>
      </c>
      <c r="B18" s="44" t="s">
        <v>56</v>
      </c>
      <c r="C18" s="44" t="s">
        <v>10</v>
      </c>
      <c r="D18" s="32">
        <v>9230</v>
      </c>
      <c r="E18" s="32">
        <v>9405</v>
      </c>
      <c r="F18" s="32">
        <v>9593</v>
      </c>
      <c r="G18" s="32">
        <v>9785</v>
      </c>
      <c r="H18" s="45">
        <f t="shared" si="0"/>
        <v>38013</v>
      </c>
    </row>
    <row r="19" spans="1:8" ht="16.5" x14ac:dyDescent="0.3">
      <c r="A19" s="43">
        <v>8</v>
      </c>
      <c r="B19" s="44" t="s">
        <v>56</v>
      </c>
      <c r="C19" s="44" t="s">
        <v>25</v>
      </c>
      <c r="D19" s="32">
        <v>1567</v>
      </c>
      <c r="E19" s="32">
        <v>1466</v>
      </c>
      <c r="F19" s="32">
        <v>1365</v>
      </c>
      <c r="G19" s="32">
        <v>1364</v>
      </c>
      <c r="H19" s="45">
        <f>SUM(D19:G19)</f>
        <v>5762</v>
      </c>
    </row>
    <row r="20" spans="1:8" ht="16.5" x14ac:dyDescent="0.3">
      <c r="A20" s="46">
        <v>9</v>
      </c>
      <c r="B20" s="47" t="s">
        <v>62</v>
      </c>
      <c r="C20" s="47" t="s">
        <v>63</v>
      </c>
      <c r="D20" s="48">
        <v>7340</v>
      </c>
      <c r="E20" s="48">
        <v>7487</v>
      </c>
      <c r="F20" s="48">
        <v>7637</v>
      </c>
      <c r="G20" s="48">
        <v>7790</v>
      </c>
      <c r="H20" s="49">
        <f t="shared" si="0"/>
        <v>30254</v>
      </c>
    </row>
    <row r="21" spans="1:8" ht="16.5" x14ac:dyDescent="0.3">
      <c r="A21" s="43">
        <v>9</v>
      </c>
      <c r="B21" s="44" t="s">
        <v>62</v>
      </c>
      <c r="C21" s="44" t="s">
        <v>50</v>
      </c>
      <c r="D21" s="32">
        <v>6340</v>
      </c>
      <c r="E21" s="32">
        <v>6487</v>
      </c>
      <c r="F21" s="32">
        <v>6637</v>
      </c>
      <c r="G21" s="32">
        <v>6790</v>
      </c>
      <c r="H21" s="45">
        <f t="shared" ref="H21:H31" si="1">SUM(D21:G21)</f>
        <v>26254</v>
      </c>
    </row>
    <row r="22" spans="1:8" ht="16.5" x14ac:dyDescent="0.3">
      <c r="A22" s="46">
        <v>4</v>
      </c>
      <c r="B22" s="47" t="s">
        <v>44</v>
      </c>
      <c r="C22" s="47" t="s">
        <v>47</v>
      </c>
      <c r="D22" s="48">
        <v>6789</v>
      </c>
      <c r="E22" s="48">
        <v>5678</v>
      </c>
      <c r="F22" s="48">
        <v>4567</v>
      </c>
      <c r="G22" s="48">
        <v>3897</v>
      </c>
      <c r="H22" s="49">
        <f t="shared" si="1"/>
        <v>20931</v>
      </c>
    </row>
    <row r="23" spans="1:8" ht="16.5" x14ac:dyDescent="0.3">
      <c r="A23" s="46">
        <v>4</v>
      </c>
      <c r="B23" s="47" t="s">
        <v>44</v>
      </c>
      <c r="C23" s="47" t="s">
        <v>58</v>
      </c>
      <c r="D23" s="48">
        <v>8456</v>
      </c>
      <c r="E23" s="48">
        <v>7654</v>
      </c>
      <c r="F23" s="48">
        <v>6542</v>
      </c>
      <c r="G23" s="48">
        <v>5897</v>
      </c>
      <c r="H23" s="49">
        <f t="shared" si="1"/>
        <v>28549</v>
      </c>
    </row>
    <row r="24" spans="1:8" ht="16.5" x14ac:dyDescent="0.3">
      <c r="A24" s="46">
        <v>5</v>
      </c>
      <c r="B24" s="47" t="s">
        <v>49</v>
      </c>
      <c r="C24" s="47" t="s">
        <v>50</v>
      </c>
      <c r="D24" s="48">
        <v>9875</v>
      </c>
      <c r="E24" s="48">
        <v>8174</v>
      </c>
      <c r="F24" s="48">
        <v>76543</v>
      </c>
      <c r="G24" s="48">
        <v>6984</v>
      </c>
      <c r="H24" s="49">
        <f t="shared" si="1"/>
        <v>101576</v>
      </c>
    </row>
    <row r="25" spans="1:8" ht="16.5" x14ac:dyDescent="0.3">
      <c r="A25" s="46">
        <v>5</v>
      </c>
      <c r="B25" s="47" t="s">
        <v>49</v>
      </c>
      <c r="C25" s="47" t="s">
        <v>82</v>
      </c>
      <c r="D25" s="48">
        <v>1045</v>
      </c>
      <c r="E25" s="48">
        <v>1035</v>
      </c>
      <c r="F25" s="48">
        <v>1032</v>
      </c>
      <c r="G25" s="48">
        <v>9760</v>
      </c>
      <c r="H25" s="49">
        <f t="shared" si="1"/>
        <v>12872</v>
      </c>
    </row>
    <row r="26" spans="1:8" ht="16.5" x14ac:dyDescent="0.3">
      <c r="A26" s="46">
        <v>6</v>
      </c>
      <c r="B26" s="47" t="s">
        <v>44</v>
      </c>
      <c r="C26" s="47" t="s">
        <v>47</v>
      </c>
      <c r="D26" s="48">
        <v>8913</v>
      </c>
      <c r="E26" s="48">
        <v>8675</v>
      </c>
      <c r="F26" s="48">
        <v>8542</v>
      </c>
      <c r="G26" s="48">
        <v>8499</v>
      </c>
      <c r="H26" s="49">
        <f t="shared" si="1"/>
        <v>34629</v>
      </c>
    </row>
    <row r="27" spans="1:8" ht="16.5" x14ac:dyDescent="0.3">
      <c r="A27" s="46">
        <v>6</v>
      </c>
      <c r="B27" s="47" t="s">
        <v>44</v>
      </c>
      <c r="C27" s="47" t="s">
        <v>80</v>
      </c>
      <c r="D27" s="48">
        <v>1276</v>
      </c>
      <c r="E27" s="48">
        <v>1190</v>
      </c>
      <c r="F27" s="48">
        <v>1067</v>
      </c>
      <c r="G27" s="48">
        <v>1052</v>
      </c>
      <c r="H27" s="49">
        <f t="shared" si="1"/>
        <v>4585</v>
      </c>
    </row>
    <row r="28" spans="1:8" ht="16.5" x14ac:dyDescent="0.3">
      <c r="A28" s="46">
        <v>8</v>
      </c>
      <c r="B28" s="47" t="s">
        <v>49</v>
      </c>
      <c r="C28" s="47" t="s">
        <v>83</v>
      </c>
      <c r="D28" s="48">
        <v>16789</v>
      </c>
      <c r="E28" s="48">
        <v>15756</v>
      </c>
      <c r="F28" s="48">
        <v>14590</v>
      </c>
      <c r="G28" s="48">
        <v>13781</v>
      </c>
      <c r="H28" s="49">
        <f t="shared" si="1"/>
        <v>60916</v>
      </c>
    </row>
    <row r="29" spans="1:8" ht="16.5" x14ac:dyDescent="0.3">
      <c r="A29" s="46">
        <v>8</v>
      </c>
      <c r="B29" s="47" t="s">
        <v>49</v>
      </c>
      <c r="C29" s="47" t="s">
        <v>50</v>
      </c>
      <c r="D29" s="48">
        <v>9014</v>
      </c>
      <c r="E29" s="48">
        <v>9013</v>
      </c>
      <c r="F29" s="48">
        <v>9012</v>
      </c>
      <c r="G29" s="48">
        <v>9011</v>
      </c>
      <c r="H29" s="49">
        <f t="shared" si="1"/>
        <v>36050</v>
      </c>
    </row>
    <row r="30" spans="1:8" ht="16.5" x14ac:dyDescent="0.3">
      <c r="A30" s="46">
        <v>9</v>
      </c>
      <c r="B30" s="47" t="s">
        <v>44</v>
      </c>
      <c r="C30" s="47" t="s">
        <v>47</v>
      </c>
      <c r="D30" s="48">
        <v>8764</v>
      </c>
      <c r="E30" s="48">
        <v>8665</v>
      </c>
      <c r="F30" s="48">
        <v>8563</v>
      </c>
      <c r="G30" s="48">
        <v>8431</v>
      </c>
      <c r="H30" s="49">
        <f t="shared" si="1"/>
        <v>34423</v>
      </c>
    </row>
    <row r="31" spans="1:8" ht="16.5" x14ac:dyDescent="0.3">
      <c r="A31" s="46">
        <v>9</v>
      </c>
      <c r="B31" s="47" t="s">
        <v>44</v>
      </c>
      <c r="C31" s="47" t="s">
        <v>45</v>
      </c>
      <c r="D31" s="48">
        <v>9076</v>
      </c>
      <c r="E31" s="48">
        <v>9875</v>
      </c>
      <c r="F31" s="48">
        <v>8745</v>
      </c>
      <c r="G31" s="48">
        <v>7316</v>
      </c>
      <c r="H31" s="49">
        <f t="shared" si="1"/>
        <v>35012</v>
      </c>
    </row>
  </sheetData>
  <mergeCells count="3">
    <mergeCell ref="J2:L3"/>
    <mergeCell ref="A1:H1"/>
    <mergeCell ref="A2:H2"/>
  </mergeCells>
  <pageMargins left="0.75" right="0.75" top="1" bottom="1" header="0.5" footer="0.5"/>
  <pageSetup paperSize="9" orientation="portrait" horizontalDpi="4294967292" verticalDpi="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308F-6804-437B-B5EC-A0E5BFDC4E1A}">
  <dimension ref="A1:G13"/>
  <sheetViews>
    <sheetView workbookViewId="0">
      <selection activeCell="E9" sqref="E9"/>
    </sheetView>
  </sheetViews>
  <sheetFormatPr baseColWidth="10" defaultColWidth="9.140625" defaultRowHeight="15" x14ac:dyDescent="0.25"/>
  <cols>
    <col min="1" max="1" width="20" customWidth="1"/>
    <col min="2" max="2" width="16" customWidth="1"/>
    <col min="3" max="3" width="17.140625" customWidth="1"/>
    <col min="4" max="4" width="17.5703125" customWidth="1"/>
    <col min="5" max="5" width="18" customWidth="1"/>
    <col min="6" max="6" width="18.5703125" customWidth="1"/>
    <col min="7" max="7" width="16" customWidth="1"/>
    <col min="8" max="8" width="13.42578125" customWidth="1"/>
    <col min="9" max="9" width="14" customWidth="1"/>
    <col min="10" max="10" width="18.7109375" customWidth="1"/>
  </cols>
  <sheetData>
    <row r="1" spans="1:7" ht="28.5" x14ac:dyDescent="0.4">
      <c r="A1" s="50" t="s">
        <v>65</v>
      </c>
      <c r="B1" s="50"/>
      <c r="C1" s="50"/>
      <c r="D1" s="50"/>
      <c r="E1" s="50"/>
      <c r="F1" s="50"/>
      <c r="G1" s="50"/>
    </row>
    <row r="2" spans="1:7" ht="18" x14ac:dyDescent="0.25">
      <c r="A2" s="51" t="s">
        <v>89</v>
      </c>
      <c r="B2" s="51"/>
      <c r="C2" s="51"/>
      <c r="D2" s="51"/>
      <c r="E2" s="51"/>
      <c r="F2" s="51"/>
      <c r="G2" s="51"/>
    </row>
    <row r="3" spans="1:7" ht="46.5" customHeight="1" x14ac:dyDescent="0.25">
      <c r="A3" s="12" t="s">
        <v>75</v>
      </c>
      <c r="B3" s="13" t="s">
        <v>70</v>
      </c>
      <c r="C3" s="13" t="s">
        <v>71</v>
      </c>
      <c r="D3" s="13" t="s">
        <v>72</v>
      </c>
      <c r="E3" s="13" t="s">
        <v>73</v>
      </c>
      <c r="F3" s="13" t="s">
        <v>74</v>
      </c>
      <c r="G3" s="14" t="s">
        <v>99</v>
      </c>
    </row>
    <row r="4" spans="1:7" ht="16.5" x14ac:dyDescent="0.3">
      <c r="A4" s="31" t="s">
        <v>94</v>
      </c>
      <c r="B4" s="32">
        <v>26408</v>
      </c>
      <c r="C4" s="32">
        <v>26936.16</v>
      </c>
      <c r="D4" s="32">
        <v>27200.240000000002</v>
      </c>
      <c r="E4" s="32">
        <v>27464.32</v>
      </c>
      <c r="F4" s="32">
        <f t="shared" ref="F4:F12" si="0">SUM(B4:E4)</f>
        <v>108008.72</v>
      </c>
      <c r="G4" s="36">
        <f>Ventes6[[#This Row],[Ventes totales]]/$F$13</f>
        <v>5.8584720231783224E-2</v>
      </c>
    </row>
    <row r="5" spans="1:7" ht="16.5" x14ac:dyDescent="0.3">
      <c r="A5" s="31" t="s">
        <v>95</v>
      </c>
      <c r="B5" s="32">
        <v>44906</v>
      </c>
      <c r="C5" s="32">
        <v>45804.12</v>
      </c>
      <c r="D5" s="32">
        <v>46253.18</v>
      </c>
      <c r="E5" s="32">
        <v>46702.239999999998</v>
      </c>
      <c r="F5" s="32">
        <f t="shared" si="0"/>
        <v>183665.53999999998</v>
      </c>
      <c r="G5" s="36">
        <f>Ventes6[[#This Row],[Ventes totales]]/$F$13</f>
        <v>9.9621533123616227E-2</v>
      </c>
    </row>
    <row r="6" spans="1:7" ht="16.5" x14ac:dyDescent="0.3">
      <c r="A6" s="31" t="s">
        <v>96</v>
      </c>
      <c r="B6" s="32">
        <v>62705</v>
      </c>
      <c r="C6" s="32">
        <v>63959.1</v>
      </c>
      <c r="D6" s="32">
        <v>64586.15</v>
      </c>
      <c r="E6" s="32">
        <v>65213.2</v>
      </c>
      <c r="F6" s="32">
        <f t="shared" si="0"/>
        <v>256463.45</v>
      </c>
      <c r="G6" s="36">
        <f>Ventes6[[#This Row],[Ventes totales]]/$F$13</f>
        <v>0.1391076523074056</v>
      </c>
    </row>
    <row r="7" spans="1:7" ht="16.5" x14ac:dyDescent="0.3">
      <c r="A7" s="31" t="s">
        <v>90</v>
      </c>
      <c r="B7" s="32">
        <v>23775</v>
      </c>
      <c r="C7" s="32">
        <v>24250.5</v>
      </c>
      <c r="D7" s="32">
        <v>24488.25</v>
      </c>
      <c r="E7" s="32">
        <v>24726</v>
      </c>
      <c r="F7" s="32">
        <f t="shared" si="0"/>
        <v>97239.75</v>
      </c>
      <c r="G7" s="36">
        <f>Ventes6[[#This Row],[Ventes totales]]/$F$13</f>
        <v>5.2743552086892083E-2</v>
      </c>
    </row>
    <row r="8" spans="1:7" ht="16.5" x14ac:dyDescent="0.3">
      <c r="A8" s="31" t="s">
        <v>91</v>
      </c>
      <c r="B8" s="32">
        <v>53370</v>
      </c>
      <c r="C8" s="32">
        <v>54437.4</v>
      </c>
      <c r="D8" s="32">
        <v>54971.1</v>
      </c>
      <c r="E8" s="32">
        <v>55504.800000000003</v>
      </c>
      <c r="F8" s="32">
        <f t="shared" si="0"/>
        <v>218283.3</v>
      </c>
      <c r="G8" s="36">
        <f>Ventes6[[#This Row],[Ventes totales]]/$F$13</f>
        <v>0.11839845951114324</v>
      </c>
    </row>
    <row r="9" spans="1:7" ht="16.5" x14ac:dyDescent="0.3">
      <c r="A9" s="31" t="s">
        <v>92</v>
      </c>
      <c r="B9" s="32">
        <v>93599</v>
      </c>
      <c r="C9" s="32">
        <v>95470.98</v>
      </c>
      <c r="D9" s="32">
        <v>96406.97</v>
      </c>
      <c r="E9" s="32">
        <v>97342.96</v>
      </c>
      <c r="F9" s="32">
        <f t="shared" si="0"/>
        <v>382819.91</v>
      </c>
      <c r="G9" s="36">
        <f>Ventes6[[#This Row],[Ventes totales]]/$F$13</f>
        <v>0.20764432100025287</v>
      </c>
    </row>
    <row r="10" spans="1:7" ht="16.5" x14ac:dyDescent="0.3">
      <c r="A10" s="31" t="s">
        <v>93</v>
      </c>
      <c r="B10" s="32">
        <v>44954</v>
      </c>
      <c r="C10" s="32">
        <v>45853.08</v>
      </c>
      <c r="D10" s="32">
        <v>46302.62</v>
      </c>
      <c r="E10" s="32">
        <v>46752.160000000003</v>
      </c>
      <c r="F10" s="32">
        <f t="shared" si="0"/>
        <v>183861.86000000002</v>
      </c>
      <c r="G10" s="36">
        <f>Ventes6[[#This Row],[Ventes totales]]/$F$13</f>
        <v>9.9728018528460444E-2</v>
      </c>
    </row>
    <row r="11" spans="1:7" ht="16.5" x14ac:dyDescent="0.3">
      <c r="A11" s="31" t="s">
        <v>97</v>
      </c>
      <c r="B11" s="32">
        <v>32523</v>
      </c>
      <c r="C11" s="32">
        <v>33173.46</v>
      </c>
      <c r="D11" s="32">
        <v>33498.69</v>
      </c>
      <c r="E11" s="32">
        <v>33823.919999999998</v>
      </c>
      <c r="F11" s="32">
        <f t="shared" si="0"/>
        <v>133019.07</v>
      </c>
      <c r="G11" s="36">
        <f>Ventes6[[#This Row],[Ventes totales]]/$F$13</f>
        <v>7.2150517119747265E-2</v>
      </c>
    </row>
    <row r="12" spans="1:7" ht="16.5" x14ac:dyDescent="0.3">
      <c r="A12" s="31" t="s">
        <v>98</v>
      </c>
      <c r="B12" s="32">
        <v>68526</v>
      </c>
      <c r="C12" s="32">
        <v>69896.52</v>
      </c>
      <c r="D12" s="32">
        <v>70581.78</v>
      </c>
      <c r="E12" s="32">
        <v>71267.039999999994</v>
      </c>
      <c r="F12" s="32">
        <f t="shared" si="0"/>
        <v>280271.34000000003</v>
      </c>
      <c r="G12" s="36">
        <f>Ventes6[[#This Row],[Ventes totales]]/$F$13</f>
        <v>0.15202122609069893</v>
      </c>
    </row>
    <row r="13" spans="1:7" x14ac:dyDescent="0.25">
      <c r="A13" s="33"/>
      <c r="B13" s="34"/>
      <c r="C13" s="34"/>
      <c r="D13" s="34"/>
      <c r="E13" s="33" t="s">
        <v>100</v>
      </c>
      <c r="F13" s="35">
        <f>SUM(F4:F12)</f>
        <v>1843632.9400000002</v>
      </c>
      <c r="G13" s="37">
        <f>Ventes6[[#This Row],[Ventes totales]]/$F$13</f>
        <v>1</v>
      </c>
    </row>
  </sheetData>
  <mergeCells count="2">
    <mergeCell ref="A2:G2"/>
    <mergeCell ref="A1:G1"/>
  </mergeCells>
  <pageMargins left="0.75" right="0.75" top="1" bottom="1" header="0.5" footer="0.5"/>
  <ignoredErrors>
    <ignoredError sqref="F13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Division commerciale</vt:lpstr>
      <vt:lpstr>Conférence commerciale</vt:lpstr>
      <vt:lpstr>Ventes régionales</vt:lpstr>
      <vt:lpstr>Ventes cumulées</vt:lpstr>
      <vt:lpstr>Résumé des ventes</vt:lpstr>
      <vt:lpstr>Vacances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Serge ASSEMIEN</cp:lastModifiedBy>
  <cp:revision/>
  <dcterms:created xsi:type="dcterms:W3CDTF">2026-07-21T17:49:13Z</dcterms:created>
  <dcterms:modified xsi:type="dcterms:W3CDTF">2026-08-14T18:40:26Z</dcterms:modified>
  <cp:category/>
  <cp:contentStatus/>
</cp:coreProperties>
</file>
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MacBook\Documents\MOS EXCEL EXPERT 2019\Test Blanc 1\"/>
    </mc:Choice>
  </mc:AlternateContent>
  <xr:revisionPtr revIDLastSave="0" documentId="13_ncr:1_{1469AFD0-A783-4DBA-A5E3-58C8F1143778}" xr6:coauthVersionLast="47" xr6:coauthVersionMax="47" xr10:uidLastSave="{00000000-0000-0000-0000-000000000000}"/>
  <bookViews>
    <workbookView xWindow="-120" yWindow="-120" windowWidth="21840" windowHeight="13140" firstSheet="1" activeTab="5" xr2:uid="{00000000-000D-0000-FFFF-FFFF00000000}"/>
  </bookViews>
  <sheets>
    <sheet name="Nouveaux titres" sheetId="1" r:id="rId1"/>
    <sheet name="Auteurs" sheetId="10" r:id="rId2"/>
    <sheet name="Ventes" sheetId="5" r:id="rId3"/>
    <sheet name="Analyse des ventes" sheetId="6" r:id="rId4"/>
    <sheet name="Droits d’auteur " sheetId="4" r:id="rId5"/>
    <sheet name="Analyse des droits d’auteur" sheetId="11" r:id="rId6"/>
  </sheets>
  <definedNames>
    <definedName name="_xlnm._FilterDatabase" localSheetId="4" hidden="1">'Droits d’auteur '!$A$3:$G$24</definedName>
  </definedNames>
  <calcPr calcId="191028"/>
  <pivotCaches>
    <pivotCache cacheId="19" r:id="rId7"/>
    <pivotCache cacheId="2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P7" i="5"/>
  <c r="P5" i="5"/>
  <c r="P6" i="5"/>
  <c r="P4" i="5"/>
  <c r="O7" i="5"/>
  <c r="H25" i="5"/>
  <c r="H26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7" i="5"/>
  <c r="H28" i="5"/>
  <c r="H29" i="5"/>
  <c r="H30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G5" i="4"/>
  <c r="G9" i="4"/>
  <c r="G13" i="4"/>
  <c r="G17" i="4"/>
  <c r="G21" i="4"/>
  <c r="G4" i="4"/>
  <c r="G6" i="4"/>
  <c r="G7" i="4"/>
  <c r="G8" i="4"/>
  <c r="G10" i="4"/>
  <c r="G11" i="4"/>
  <c r="G12" i="4"/>
  <c r="G14" i="4"/>
  <c r="G15" i="4"/>
  <c r="G16" i="4"/>
  <c r="G18" i="4"/>
  <c r="G19" i="4"/>
  <c r="G20" i="4"/>
  <c r="G22" i="4"/>
  <c r="G23" i="4"/>
  <c r="G24" i="4"/>
  <c r="L4" i="5" l="1"/>
  <c r="L18" i="5"/>
  <c r="L30" i="5"/>
  <c r="L29" i="5"/>
  <c r="L28" i="5"/>
  <c r="L27" i="5"/>
  <c r="L26" i="5"/>
  <c r="L25" i="5"/>
  <c r="L24" i="5"/>
  <c r="L23" i="5"/>
  <c r="L22" i="5"/>
  <c r="L21" i="5"/>
  <c r="L20" i="5"/>
  <c r="L19" i="5"/>
  <c r="L17" i="5"/>
  <c r="L16" i="5"/>
  <c r="L15" i="5"/>
  <c r="L14" i="5"/>
  <c r="L13" i="5"/>
  <c r="L12" i="5"/>
  <c r="L11" i="5"/>
  <c r="L10" i="5"/>
  <c r="L9" i="5"/>
  <c r="L8" i="5"/>
  <c r="L7" i="5"/>
  <c r="L6" i="5"/>
  <c r="L5" i="5"/>
</calcChain>
</file>

<file path=xl/sharedStrings.xml><?xml version="1.0" encoding="utf-8"?>
<sst xmlns="http://schemas.openxmlformats.org/spreadsheetml/2006/main" count="400" uniqueCount="219">
  <si>
    <t>Titre</t>
  </si>
  <si>
    <t>Description</t>
  </si>
  <si>
    <t>Catégorie</t>
  </si>
  <si>
    <t>Date de publication</t>
  </si>
  <si>
    <t>AU954</t>
  </si>
  <si>
    <t>Guide des bases de données du cadre débordé</t>
  </si>
  <si>
    <t>Présentation des systèmes de bases de données disponibles en mettant l’accent sur les applications métier courantes.</t>
  </si>
  <si>
    <t>Commerce</t>
  </si>
  <si>
    <t>BU796</t>
  </si>
  <si>
    <t>Cuisiner avec des ordinateurs : bilans clandestins</t>
  </si>
  <si>
    <t>Conseils pratiques sur la façon de mettre à profit les ressources électroniques.</t>
  </si>
  <si>
    <t>BU188</t>
  </si>
  <si>
    <t>Vous pouvez combattre le stress de l'ordinateur !</t>
  </si>
  <si>
    <t>Dernières techniques médicales et psychologiques pour vivre dans un bureau électronique.</t>
  </si>
  <si>
    <t>BU410</t>
  </si>
  <si>
    <t>Débats ouverts sur les ordinateurs</t>
  </si>
  <si>
    <t>Analyses commentées de l’usage professionnel critique des ordinateurs.</t>
  </si>
  <si>
    <t>CO841</t>
  </si>
  <si>
    <t>Introduction à la programmation en C#</t>
  </si>
  <si>
    <t>Les concepts fondamentaux et les meilleures pratiques du développement C#.</t>
  </si>
  <si>
    <t>Ordinateurs</t>
  </si>
  <si>
    <t>CO20</t>
  </si>
  <si>
    <t>Cours intensif en Python</t>
  </si>
  <si>
    <t>Introduction pratique et projet guidé de programmation Python.</t>
  </si>
  <si>
    <t>HO554</t>
  </si>
  <si>
    <t>Photographie avec le téléphone mobile</t>
  </si>
  <si>
    <t>Conseils et techniques pour la photographie avec téléphone mobile.</t>
  </si>
  <si>
    <t>Passe-temps et loisirs</t>
  </si>
  <si>
    <t>CO902</t>
  </si>
  <si>
    <t>Maîtriser Excel avancé</t>
  </si>
  <si>
    <t>Fonctions avancées, tableaux croisés dynamiques et automatisation.</t>
  </si>
  <si>
    <t>CO915</t>
  </si>
  <si>
    <t>Initiation à JavaScript</t>
  </si>
  <si>
    <t>Apprentissage des bases du langage JavaScript pour le web.</t>
  </si>
  <si>
    <t>CM110</t>
  </si>
  <si>
    <t>Marketing numérique pratique</t>
  </si>
  <si>
    <t>Méthodes modernes de promotion sur les canaux digitaux.</t>
  </si>
  <si>
    <t>CM125</t>
  </si>
  <si>
    <t>Gestion efficace des projets</t>
  </si>
  <si>
    <t>Organisation, suivi et réussite des projets professionnels.</t>
  </si>
  <si>
    <t>HO600</t>
  </si>
  <si>
    <t>Guide du jardinage moderne</t>
  </si>
  <si>
    <t>Techniques simples pour entretenir un jardin productif.</t>
  </si>
  <si>
    <t>HO612</t>
  </si>
  <si>
    <t>Cuisine créative à la maison</t>
  </si>
  <si>
    <t>Recettes et astuces pour innover en cuisine.</t>
  </si>
  <si>
    <t>CO930</t>
  </si>
  <si>
    <t>Administration réseau</t>
  </si>
  <si>
    <t>Installation, configuration et gestion des réseaux.</t>
  </si>
  <si>
    <t>CO945</t>
  </si>
  <si>
    <t>Sécurité informatique essentielle</t>
  </si>
  <si>
    <t>Protection des systèmes contre les menaces courantes.</t>
  </si>
  <si>
    <t>CM140</t>
  </si>
  <si>
    <t>Analyse des ventes</t>
  </si>
  <si>
    <t>Méthodes d’interprétation des indicateurs commerciaux.</t>
  </si>
  <si>
    <t>CM155</t>
  </si>
  <si>
    <t>Leadership en entreprise</t>
  </si>
  <si>
    <t>Développement des compétences de management et de leadership.</t>
  </si>
  <si>
    <t>HO640</t>
  </si>
  <si>
    <t>Photographie de voyage</t>
  </si>
  <si>
    <t>Préparer et réussir des reportages photo en déplacement.</t>
  </si>
  <si>
    <t>CO960</t>
  </si>
  <si>
    <t>Bases de données SQL</t>
  </si>
  <si>
    <t>Conception, requêtes et administration de bases SQL.</t>
  </si>
  <si>
    <t>CM170</t>
  </si>
  <si>
    <t>Communication professionnelle</t>
  </si>
  <si>
    <t>Rédaction, présentation et communication en entreprise.</t>
  </si>
  <si>
    <t>Editions Lucerne</t>
  </si>
  <si>
    <t>Nouveaux titres de livres</t>
  </si>
  <si>
    <t>ID du titre</t>
  </si>
  <si>
    <t>Auteur</t>
  </si>
  <si>
    <t>Marge brute</t>
  </si>
  <si>
    <t>Droit dû</t>
  </si>
  <si>
    <t>Total payé</t>
  </si>
  <si>
    <t>Lee</t>
  </si>
  <si>
    <t>BU954</t>
  </si>
  <si>
    <t>Cook</t>
  </si>
  <si>
    <t>Duncan</t>
  </si>
  <si>
    <t>Chen</t>
  </si>
  <si>
    <t>Blue</t>
  </si>
  <si>
    <t>Alberts</t>
  </si>
  <si>
    <t>PS174</t>
  </si>
  <si>
    <t>PS809</t>
  </si>
  <si>
    <t>Bacon Jr.</t>
  </si>
  <si>
    <t>PS12</t>
  </si>
  <si>
    <t>PS277</t>
  </si>
  <si>
    <t>Fakhouri</t>
  </si>
  <si>
    <t>PS690</t>
  </si>
  <si>
    <t>droits d'auteur</t>
  </si>
  <si>
    <t>Droit d auteur</t>
  </si>
  <si>
    <t>Yee</t>
  </si>
  <si>
    <t>Thorell</t>
  </si>
  <si>
    <t>Zuber</t>
  </si>
  <si>
    <t>Juhl</t>
  </si>
  <si>
    <t>Hensien</t>
  </si>
  <si>
    <t>Galvin</t>
  </si>
  <si>
    <t>MO899</t>
  </si>
  <si>
    <t>MO395</t>
  </si>
  <si>
    <t>PS695</t>
  </si>
  <si>
    <t>PO34</t>
  </si>
  <si>
    <t>PO922</t>
  </si>
  <si>
    <t>Bott</t>
  </si>
  <si>
    <t>PO703</t>
  </si>
  <si>
    <t>Alderson</t>
  </si>
  <si>
    <t>Abolrous</t>
  </si>
  <si>
    <t>Goktepe</t>
  </si>
  <si>
    <t>TR527</t>
  </si>
  <si>
    <t>Hay</t>
  </si>
  <si>
    <t>TR682</t>
  </si>
  <si>
    <t>Hector</t>
  </si>
  <si>
    <t>TR653</t>
  </si>
  <si>
    <t>Gutierrez</t>
  </si>
  <si>
    <t>Avance à l auteur</t>
  </si>
  <si>
    <t>Prévisions des ventes</t>
  </si>
  <si>
    <t>Ventes totales</t>
  </si>
  <si>
    <t>Couverture rigide vendu</t>
  </si>
  <si>
    <t>Total des couvertures rigides</t>
  </si>
  <si>
    <t>Livre de poche vendu</t>
  </si>
  <si>
    <t>Livre de poche prix</t>
  </si>
  <si>
    <t>Total des livres de poche</t>
  </si>
  <si>
    <t>Numérique vendu</t>
  </si>
  <si>
    <t>Prix du numérique</t>
  </si>
  <si>
    <t>Total du numérique</t>
  </si>
  <si>
    <t>Vents de livres</t>
  </si>
  <si>
    <t>Couverture rigide prix</t>
  </si>
  <si>
    <t>Cuisine moderne</t>
  </si>
  <si>
    <t>P5695</t>
  </si>
  <si>
    <t>Psychologie</t>
  </si>
  <si>
    <t>Informatique populaire</t>
  </si>
  <si>
    <t>P5174</t>
  </si>
  <si>
    <t>P5809</t>
  </si>
  <si>
    <t>P512</t>
  </si>
  <si>
    <t>P5277</t>
  </si>
  <si>
    <t>P5690</t>
  </si>
  <si>
    <t>Cuisine traditionnelle</t>
  </si>
  <si>
    <t>P5173</t>
  </si>
  <si>
    <t>P5176</t>
  </si>
  <si>
    <t>P5177</t>
  </si>
  <si>
    <t>P5178</t>
  </si>
  <si>
    <t>HO555</t>
  </si>
  <si>
    <t>Ventes</t>
  </si>
  <si>
    <t>Ventes pourcentages</t>
  </si>
  <si>
    <t>Numérique</t>
  </si>
  <si>
    <t>Livre de poche</t>
  </si>
  <si>
    <t>Couverture rigide</t>
  </si>
  <si>
    <t>Total</t>
  </si>
  <si>
    <t>Étiquettes de lignes</t>
  </si>
  <si>
    <t>Total général</t>
  </si>
  <si>
    <t>Somme de Total des couvertures rigides</t>
  </si>
  <si>
    <t>Somme de Total des livres de poche</t>
  </si>
  <si>
    <t>Somme de Total du numérique</t>
  </si>
  <si>
    <t>Somme de Ventes totales</t>
  </si>
  <si>
    <t>Numéro d’identification</t>
  </si>
  <si>
    <t>Nom</t>
  </si>
  <si>
    <t>Prénom</t>
  </si>
  <si>
    <t>État</t>
  </si>
  <si>
    <t>Contrat signé</t>
  </si>
  <si>
    <t>YEETA78</t>
  </si>
  <si>
    <t>Tai</t>
  </si>
  <si>
    <t>CA</t>
  </si>
  <si>
    <t>Oui</t>
  </si>
  <si>
    <t>THOIB79</t>
  </si>
  <si>
    <t>Iben</t>
  </si>
  <si>
    <t>ZUBAN85</t>
  </si>
  <si>
    <t>Annelie</t>
  </si>
  <si>
    <t>JUHCL19</t>
  </si>
  <si>
    <t>Claus</t>
  </si>
  <si>
    <t>LEEAA50</t>
  </si>
  <si>
    <t>Aaron</t>
  </si>
  <si>
    <t>HENKA47</t>
  </si>
  <si>
    <t>Kari</t>
  </si>
  <si>
    <t>KS</t>
  </si>
  <si>
    <t>Non</t>
  </si>
  <si>
    <t>GALJA34</t>
  </si>
  <si>
    <t>Janice</t>
  </si>
  <si>
    <t>COOCA77</t>
  </si>
  <si>
    <t>Cathan</t>
  </si>
  <si>
    <t>DUNBA95</t>
  </si>
  <si>
    <t>Bart</t>
  </si>
  <si>
    <t>CHEHA24</t>
  </si>
  <si>
    <t>Hao</t>
  </si>
  <si>
    <t>BLUKE89</t>
  </si>
  <si>
    <t>Kelly</t>
  </si>
  <si>
    <t>TN</t>
  </si>
  <si>
    <t>BOTJO68</t>
  </si>
  <si>
    <t>Jorg</t>
  </si>
  <si>
    <t>OU</t>
  </si>
  <si>
    <t>ALBAM79</t>
  </si>
  <si>
    <t>Amy</t>
  </si>
  <si>
    <t>ALDGR25</t>
  </si>
  <si>
    <t>Gregory F.</t>
  </si>
  <si>
    <t>MI</t>
  </si>
  <si>
    <t>BACDA65</t>
  </si>
  <si>
    <t>Dan K.</t>
  </si>
  <si>
    <t>IN</t>
  </si>
  <si>
    <t>ABOHA92</t>
  </si>
  <si>
    <t>Abourous</t>
  </si>
  <si>
    <t>Hazem</t>
  </si>
  <si>
    <t>FAKFA35</t>
  </si>
  <si>
    <t>Fadi</t>
  </si>
  <si>
    <t>GOKME60</t>
  </si>
  <si>
    <t>Mete</t>
  </si>
  <si>
    <t>HAYJE14</t>
  </si>
  <si>
    <t>Jeff</t>
  </si>
  <si>
    <t>MD</t>
  </si>
  <si>
    <t>HECCL68</t>
  </si>
  <si>
    <t>Clair</t>
  </si>
  <si>
    <t>GUTPE74</t>
  </si>
  <si>
    <t>Pedro</t>
  </si>
  <si>
    <t>KOSEM88</t>
  </si>
  <si>
    <t>Koszegi</t>
  </si>
  <si>
    <t>Emilia</t>
  </si>
  <si>
    <t>UT</t>
  </si>
  <si>
    <t>KAWMA33</t>
  </si>
  <si>
    <t>Kawai</t>
  </si>
  <si>
    <t>Masato</t>
  </si>
  <si>
    <t>Nouveaux auteurs</t>
  </si>
  <si>
    <t>Ventes de livres</t>
  </si>
  <si>
    <t>Droits d'auteur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</si>
</sst>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/mm/yyyy;@"/>
    <numFmt numFmtId="165" formatCode="_-* #,##0.00\ [$€-1]_-;\-* #,##0.00\ [$€-1]_-;_-* &quot;-&quot;??\ [$€-1]_-;_-@_-"/>
    <numFmt numFmtId="167" formatCode="#,##0.00\ &quot;€&quot;"/>
  </numFmts>
  <fonts count="12" x14ac:knownFonts="1">
    <font>
      <sz val="11"/>
      <color theme="1"/>
      <name val="Calibri"/>
      <family val="2"/>
      <scheme val="minor"/>
    </font>
    <font>
      <sz val="18"/>
      <color theme="1"/>
      <name val="Century Gothic"/>
      <family val="2"/>
    </font>
    <font>
      <sz val="11"/>
      <color theme="1"/>
      <name val="Century Gothic"/>
      <family val="2"/>
    </font>
    <font>
      <b/>
      <sz val="12"/>
      <color theme="6" tint="-0.499984740745262"/>
      <name val="Century Gothic"/>
      <family val="2"/>
    </font>
    <font>
      <b/>
      <sz val="14"/>
      <color theme="1"/>
      <name val="Century Gothic"/>
      <family val="2"/>
    </font>
    <font>
      <b/>
      <sz val="20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8"/>
      <name val="Calibri"/>
      <family val="2"/>
      <scheme val="minor"/>
    </font>
    <font>
      <b/>
      <sz val="11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79998168889431442"/>
        <bgColor theme="6"/>
      </patternFill>
    </fill>
  </fills>
  <borders count="15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3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right" vertical="center"/>
    </xf>
    <xf numFmtId="0" fontId="4" fillId="2" borderId="0" xfId="0" applyFont="1" applyFill="1"/>
    <xf numFmtId="0" fontId="5" fillId="2" borderId="0" xfId="0" applyFont="1" applyFill="1"/>
    <xf numFmtId="0" fontId="2" fillId="0" borderId="0" xfId="0" applyFont="1"/>
    <xf numFmtId="0" fontId="8" fillId="4" borderId="3" xfId="0" applyFont="1" applyFill="1" applyBorder="1"/>
    <xf numFmtId="0" fontId="8" fillId="4" borderId="4" xfId="0" applyFont="1" applyFill="1" applyBorder="1"/>
    <xf numFmtId="167" fontId="8" fillId="4" borderId="4" xfId="0" applyNumberFormat="1" applyFont="1" applyFill="1" applyBorder="1"/>
    <xf numFmtId="9" fontId="8" fillId="4" borderId="4" xfId="0" applyNumberFormat="1" applyFont="1" applyFill="1" applyBorder="1"/>
    <xf numFmtId="44" fontId="8" fillId="4" borderId="4" xfId="0" applyNumberFormat="1" applyFont="1" applyFill="1" applyBorder="1"/>
    <xf numFmtId="0" fontId="8" fillId="5" borderId="5" xfId="0" applyFont="1" applyFill="1" applyBorder="1"/>
    <xf numFmtId="0" fontId="8" fillId="5" borderId="1" xfId="0" applyFont="1" applyFill="1" applyBorder="1"/>
    <xf numFmtId="167" fontId="8" fillId="5" borderId="1" xfId="0" applyNumberFormat="1" applyFont="1" applyFill="1" applyBorder="1"/>
    <xf numFmtId="9" fontId="8" fillId="5" borderId="1" xfId="0" applyNumberFormat="1" applyFont="1" applyFill="1" applyBorder="1"/>
    <xf numFmtId="44" fontId="8" fillId="5" borderId="1" xfId="0" applyNumberFormat="1" applyFont="1" applyFill="1" applyBorder="1"/>
    <xf numFmtId="0" fontId="8" fillId="4" borderId="5" xfId="0" applyFont="1" applyFill="1" applyBorder="1"/>
    <xf numFmtId="0" fontId="8" fillId="4" borderId="1" xfId="0" applyFont="1" applyFill="1" applyBorder="1"/>
    <xf numFmtId="167" fontId="8" fillId="4" borderId="1" xfId="0" applyNumberFormat="1" applyFont="1" applyFill="1" applyBorder="1"/>
    <xf numFmtId="9" fontId="8" fillId="4" borderId="1" xfId="0" applyNumberFormat="1" applyFont="1" applyFill="1" applyBorder="1"/>
    <xf numFmtId="44" fontId="8" fillId="4" borderId="1" xfId="0" applyNumberFormat="1" applyFont="1" applyFill="1" applyBorder="1"/>
    <xf numFmtId="0" fontId="7" fillId="6" borderId="0" xfId="0" applyFont="1" applyFill="1" applyBorder="1" applyAlignment="1"/>
    <xf numFmtId="0" fontId="7" fillId="6" borderId="2" xfId="0" applyFont="1" applyFill="1" applyBorder="1" applyAlignment="1"/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0" fillId="0" borderId="10" xfId="0" applyBorder="1"/>
    <xf numFmtId="165" fontId="0" fillId="0" borderId="10" xfId="0" applyNumberFormat="1" applyBorder="1"/>
    <xf numFmtId="165" fontId="0" fillId="0" borderId="11" xfId="0" applyNumberFormat="1" applyBorder="1"/>
    <xf numFmtId="0" fontId="0" fillId="0" borderId="13" xfId="0" applyBorder="1"/>
    <xf numFmtId="165" fontId="0" fillId="0" borderId="13" xfId="0" applyNumberFormat="1" applyBorder="1"/>
    <xf numFmtId="165" fontId="0" fillId="0" borderId="14" xfId="0" applyNumberFormat="1" applyBorder="1"/>
    <xf numFmtId="0" fontId="9" fillId="0" borderId="6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2" xfId="0" applyBorder="1" applyAlignment="1">
      <alignment horizontal="left"/>
    </xf>
    <xf numFmtId="0" fontId="8" fillId="2" borderId="0" xfId="0" applyFont="1" applyFill="1" applyAlignment="1"/>
    <xf numFmtId="0" fontId="0" fillId="0" borderId="0" xfId="0" applyBorder="1"/>
    <xf numFmtId="0" fontId="2" fillId="0" borderId="10" xfId="0" applyFont="1" applyBorder="1"/>
    <xf numFmtId="0" fontId="9" fillId="2" borderId="0" xfId="0" applyFont="1" applyFill="1" applyAlignment="1">
      <alignment wrapText="1"/>
    </xf>
    <xf numFmtId="0" fontId="11" fillId="0" borderId="0" xfId="0" applyFont="1"/>
    <xf numFmtId="44" fontId="2" fillId="0" borderId="10" xfId="0" applyNumberFormat="1" applyFont="1" applyBorder="1" applyAlignment="1">
      <alignment horizontal="center"/>
    </xf>
    <xf numFmtId="44" fontId="0" fillId="0" borderId="0" xfId="0" applyNumberFormat="1" applyBorder="1"/>
    <xf numFmtId="9" fontId="2" fillId="0" borderId="10" xfId="1" applyNumberFormat="1" applyFont="1" applyBorder="1"/>
    <xf numFmtId="44" fontId="11" fillId="0" borderId="10" xfId="0" applyNumberFormat="1" applyFont="1" applyBorder="1" applyAlignment="1">
      <alignment horizontal="center"/>
    </xf>
    <xf numFmtId="9" fontId="11" fillId="0" borderId="10" xfId="1" applyNumberFormat="1" applyFont="1" applyBorder="1"/>
    <xf numFmtId="0" fontId="11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2" fillId="0" borderId="0" xfId="0" applyFont="1" applyAlignment="1">
      <alignment horizontal="center"/>
    </xf>
    <xf numFmtId="2" fontId="0" fillId="0" borderId="0" xfId="0" applyNumberFormat="1"/>
  </cellXfs>
  <cellStyles count="2">
    <cellStyle name="Normal" xfId="0" builtinId="0"/>
    <cellStyle name="Pourcentage" xfId="1" builtinId="5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65" formatCode="_-* #,##0.00\ [$€-1]_-;\-* #,##0.00\ [$€-1]_-;_-* &quot;-&quot;??\ [$€-1]_-;_-@_-"/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-* #,##0.00\ [$€-1]_-;\-* #,##0.00\ [$€-1]_-;_-* &quot;-&quot;??\ [$€-1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fill>
        <patternFill patternType="solid">
          <fgColor theme="6"/>
          <bgColor theme="6" tint="0.79998168889431442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6" tint="0.5999938962981048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34" formatCode="_-* #,##0.00\ &quot;€&quot;_-;\-* #,##0.00\ &quot;€&quot;_-;_-* &quot;-&quot;??\ &quot;€&quot;_-;_-@_-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3" formatCode="0%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7" formatCode="#,##0.00\ &quot;€&quot;"/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fill>
        <patternFill patternType="solid">
          <fgColor theme="6" tint="0.59999389629810485"/>
          <bgColor theme="6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numFmt numFmtId="164" formatCode="d/mm/yyyy;@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name val="Century Gothic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6" tint="-0.499984740745262"/>
        <name val="Century Gothic"/>
        <family val="2"/>
        <scheme val="none"/>
      </font>
      <fill>
        <patternFill patternType="solid">
          <fgColor indexed="64"/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[MOS Excel 2019_Projet4.xlsx]Analyse des droits d’auteur!Tableau croisé dynamique8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'Analyse des droits d’auteur'!$B$2</c:f>
              <c:strCache>
                <c:ptCount val="1"/>
                <c:pt idx="0">
                  <c:v>Ventes de livres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'Analyse des droits d’auteur'!$A$3:$A$24</c:f>
              <c:strCache>
                <c:ptCount val="21"/>
                <c:pt idx="0">
                  <c:v>Abolrous</c:v>
                </c:pt>
                <c:pt idx="1">
                  <c:v>Alberts</c:v>
                </c:pt>
                <c:pt idx="2">
                  <c:v>Alderson</c:v>
                </c:pt>
                <c:pt idx="3">
                  <c:v>Bacon Jr.</c:v>
                </c:pt>
                <c:pt idx="4">
                  <c:v>Blue</c:v>
                </c:pt>
                <c:pt idx="5">
                  <c:v>Bott</c:v>
                </c:pt>
                <c:pt idx="6">
                  <c:v>Chen</c:v>
                </c:pt>
                <c:pt idx="7">
                  <c:v>Cook</c:v>
                </c:pt>
                <c:pt idx="8">
                  <c:v>Duncan</c:v>
                </c:pt>
                <c:pt idx="9">
                  <c:v>Fakhouri</c:v>
                </c:pt>
                <c:pt idx="10">
                  <c:v>Galvin</c:v>
                </c:pt>
                <c:pt idx="11">
                  <c:v>Goktepe</c:v>
                </c:pt>
                <c:pt idx="12">
                  <c:v>Gutierrez</c:v>
                </c:pt>
                <c:pt idx="13">
                  <c:v>Hay</c:v>
                </c:pt>
                <c:pt idx="14">
                  <c:v>Hector</c:v>
                </c:pt>
                <c:pt idx="15">
                  <c:v>Hensien</c:v>
                </c:pt>
                <c:pt idx="16">
                  <c:v>Juhl</c:v>
                </c:pt>
                <c:pt idx="17">
                  <c:v>Lee</c:v>
                </c:pt>
                <c:pt idx="18">
                  <c:v>Thorell</c:v>
                </c:pt>
                <c:pt idx="19">
                  <c:v>Yee</c:v>
                </c:pt>
                <c:pt idx="20">
                  <c:v>Zuber</c:v>
                </c:pt>
              </c:strCache>
            </c:strRef>
          </c:cat>
          <c:val>
            <c:numRef>
              <c:f>'Analyse des droits d’auteur'!$B$3:$B$24</c:f>
              <c:numCache>
                <c:formatCode>0.00</c:formatCode>
                <c:ptCount val="21"/>
                <c:pt idx="0">
                  <c:v>4661</c:v>
                </c:pt>
                <c:pt idx="1">
                  <c:v>5370.25</c:v>
                </c:pt>
                <c:pt idx="2">
                  <c:v>8312.58</c:v>
                </c:pt>
                <c:pt idx="3">
                  <c:v>4081.39</c:v>
                </c:pt>
                <c:pt idx="4">
                  <c:v>3222.15</c:v>
                </c:pt>
                <c:pt idx="5">
                  <c:v>4296.2</c:v>
                </c:pt>
                <c:pt idx="6">
                  <c:v>10120</c:v>
                </c:pt>
                <c:pt idx="7">
                  <c:v>11739.49</c:v>
                </c:pt>
                <c:pt idx="8">
                  <c:v>14168.35</c:v>
                </c:pt>
                <c:pt idx="9">
                  <c:v>8220.25</c:v>
                </c:pt>
                <c:pt idx="10">
                  <c:v>19625</c:v>
                </c:pt>
                <c:pt idx="11">
                  <c:v>8055.06</c:v>
                </c:pt>
                <c:pt idx="12">
                  <c:v>12970.25</c:v>
                </c:pt>
                <c:pt idx="13">
                  <c:v>10929.87</c:v>
                </c:pt>
                <c:pt idx="14">
                  <c:v>12144.3</c:v>
                </c:pt>
                <c:pt idx="15">
                  <c:v>15870</c:v>
                </c:pt>
                <c:pt idx="16">
                  <c:v>9000</c:v>
                </c:pt>
                <c:pt idx="17">
                  <c:v>13090</c:v>
                </c:pt>
                <c:pt idx="18">
                  <c:v>6072.15</c:v>
                </c:pt>
                <c:pt idx="19">
                  <c:v>10120.25</c:v>
                </c:pt>
                <c:pt idx="20">
                  <c:v>7088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3-4210-B246-657201AF62AA}"/>
            </c:ext>
          </c:extLst>
        </c:ser>
        <c:ser>
          <c:idx val="1"/>
          <c:order val="1"/>
          <c:tx>
            <c:strRef>
              <c:f>'Analyse des droits d’auteur'!$C$2</c:f>
              <c:strCache>
                <c:ptCount val="1"/>
                <c:pt idx="0">
                  <c:v>Droits d'auteur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'Analyse des droits d’auteur'!$A$3:$A$24</c:f>
              <c:strCache>
                <c:ptCount val="21"/>
                <c:pt idx="0">
                  <c:v>Abolrous</c:v>
                </c:pt>
                <c:pt idx="1">
                  <c:v>Alberts</c:v>
                </c:pt>
                <c:pt idx="2">
                  <c:v>Alderson</c:v>
                </c:pt>
                <c:pt idx="3">
                  <c:v>Bacon Jr.</c:v>
                </c:pt>
                <c:pt idx="4">
                  <c:v>Blue</c:v>
                </c:pt>
                <c:pt idx="5">
                  <c:v>Bott</c:v>
                </c:pt>
                <c:pt idx="6">
                  <c:v>Chen</c:v>
                </c:pt>
                <c:pt idx="7">
                  <c:v>Cook</c:v>
                </c:pt>
                <c:pt idx="8">
                  <c:v>Duncan</c:v>
                </c:pt>
                <c:pt idx="9">
                  <c:v>Fakhouri</c:v>
                </c:pt>
                <c:pt idx="10">
                  <c:v>Galvin</c:v>
                </c:pt>
                <c:pt idx="11">
                  <c:v>Goktepe</c:v>
                </c:pt>
                <c:pt idx="12">
                  <c:v>Gutierrez</c:v>
                </c:pt>
                <c:pt idx="13">
                  <c:v>Hay</c:v>
                </c:pt>
                <c:pt idx="14">
                  <c:v>Hector</c:v>
                </c:pt>
                <c:pt idx="15">
                  <c:v>Hensien</c:v>
                </c:pt>
                <c:pt idx="16">
                  <c:v>Juhl</c:v>
                </c:pt>
                <c:pt idx="17">
                  <c:v>Lee</c:v>
                </c:pt>
                <c:pt idx="18">
                  <c:v>Thorell</c:v>
                </c:pt>
                <c:pt idx="19">
                  <c:v>Yee</c:v>
                </c:pt>
                <c:pt idx="20">
                  <c:v>Zuber</c:v>
                </c:pt>
              </c:strCache>
            </c:strRef>
          </c:cat>
          <c:val>
            <c:numRef>
              <c:f>'Analyse des droits d’auteur'!$C$3:$C$24</c:f>
              <c:numCache>
                <c:formatCode>0.00</c:formatCode>
                <c:ptCount val="21"/>
                <c:pt idx="0">
                  <c:v>7000</c:v>
                </c:pt>
                <c:pt idx="1">
                  <c:v>6000</c:v>
                </c:pt>
                <c:pt idx="2">
                  <c:v>2000</c:v>
                </c:pt>
                <c:pt idx="3">
                  <c:v>4000</c:v>
                </c:pt>
                <c:pt idx="4">
                  <c:v>7000</c:v>
                </c:pt>
                <c:pt idx="5">
                  <c:v>2275</c:v>
                </c:pt>
                <c:pt idx="6">
                  <c:v>0</c:v>
                </c:pt>
                <c:pt idx="7">
                  <c:v>7000</c:v>
                </c:pt>
                <c:pt idx="8">
                  <c:v>8000</c:v>
                </c:pt>
                <c:pt idx="9">
                  <c:v>4000</c:v>
                </c:pt>
                <c:pt idx="10">
                  <c:v>0</c:v>
                </c:pt>
                <c:pt idx="11">
                  <c:v>8000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15000</c:v>
                </c:pt>
                <c:pt idx="16">
                  <c:v>5000</c:v>
                </c:pt>
                <c:pt idx="17">
                  <c:v>0</c:v>
                </c:pt>
                <c:pt idx="18">
                  <c:v>5000</c:v>
                </c:pt>
                <c:pt idx="19">
                  <c:v>5000</c:v>
                </c:pt>
                <c:pt idx="20">
                  <c:v>10125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3-4210-B246-657201AF6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139071"/>
        <c:axId val="2128908895"/>
        <c:axId val="0"/>
      </c:bar3DChart>
      <c:catAx>
        <c:axId val="119139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5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8908895"/>
        <c:crosses val="autoZero"/>
        <c:auto val="1"/>
        <c:lblAlgn val="ctr"/>
        <c:lblOffset val="100"/>
        <c:noMultiLvlLbl val="0"/>
      </c:catAx>
      <c:valAx>
        <c:axId val="212890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139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247649</xdr:colOff>
      <xdr:row>1</xdr:row>
      <xdr:rowOff>85999</xdr:rowOff>
    </xdr:from>
    <xdr:to>
      <xdr:col>11</xdr:col>
      <xdr:colOff>352425</xdr:colOff>
      <xdr:row>23</xdr:row>
      <xdr:rowOff>180975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1DDD9E4-5071-860F-D8AA-AC9E413227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6.473720601854" createdVersion="8" refreshedVersion="8" minRefreshableVersion="3" recordCount="27" xr:uid="{BDF021C7-5370-487F-A5AC-E7CF9A44C92E}">
  <cacheSource type="worksheet">
    <worksheetSource name="Ventes"/>
  </cacheSource>
  <cacheFields count="12">
    <cacheField name="ID du titre" numFmtId="0">
      <sharedItems count="25">
        <s v="BU954"/>
        <s v="BU796"/>
        <s v="BU188"/>
        <s v="BU410"/>
        <s v="CO841"/>
        <s v="CO20"/>
        <s v="HO554"/>
        <s v="MO899"/>
        <s v="MO395"/>
        <s v="P5695"/>
        <s v="PO34"/>
        <s v="PO922"/>
        <s v="PO703"/>
        <s v="P5174"/>
        <s v="P5809"/>
        <s v="P512"/>
        <s v="P5277"/>
        <s v="P5690"/>
        <s v="TR527"/>
        <s v="TR682"/>
        <s v="P5173"/>
        <s v="P5176"/>
        <s v="P5177"/>
        <s v="P5178"/>
        <s v="HO555"/>
      </sharedItems>
    </cacheField>
    <cacheField name="Catégorie" numFmtId="0">
      <sharedItems count="7">
        <s v="Commerce"/>
        <s v="Ordinateurs"/>
        <s v="Passe-temps et loisirs"/>
        <s v="Cuisine moderne"/>
        <s v="Psychologie"/>
        <s v="Informatique populaire"/>
        <s v="Cuisine traditionnelle"/>
      </sharedItems>
    </cacheField>
    <cacheField name="Couverture rigide vendu" numFmtId="0">
      <sharedItems containsSemiMixedTypes="0" containsString="0" containsNumber="1" containsInteger="1" minValue="15" maxValue="40"/>
    </cacheField>
    <cacheField name="Couverture rigide prix" numFmtId="165">
      <sharedItems containsSemiMixedTypes="0" containsString="0" containsNumber="1" minValue="19.989999999999998" maxValue="52"/>
    </cacheField>
    <cacheField name="Total des couvertures rigides" numFmtId="165">
      <sharedItems containsSemiMixedTypes="0" containsString="0" containsNumber="1" minValue="299.84999999999997" maxValue="1404"/>
    </cacheField>
    <cacheField name="Livre de poche vendu" numFmtId="165">
      <sharedItems containsSemiMixedTypes="0" containsString="0" containsNumber="1" containsInteger="1" minValue="45" maxValue="120"/>
    </cacheField>
    <cacheField name="Livre de poche prix" numFmtId="165">
      <sharedItems containsSemiMixedTypes="0" containsString="0" containsNumber="1" minValue="12" maxValue="50"/>
    </cacheField>
    <cacheField name="Total des livres de poche" numFmtId="165">
      <sharedItems containsSemiMixedTypes="0" containsString="0" containsNumber="1" minValue="674.55" maxValue="3619"/>
    </cacheField>
    <cacheField name="Numérique vendu" numFmtId="165">
      <sharedItems containsSemiMixedTypes="0" containsString="0" containsNumber="1" containsInteger="1" minValue="225" maxValue="600"/>
    </cacheField>
    <cacheField name="Prix du numérique" numFmtId="165">
      <sharedItems containsSemiMixedTypes="0" containsString="0" containsNumber="1" minValue="9.99" maxValue="50"/>
    </cacheField>
    <cacheField name="Total du numérique" numFmtId="165">
      <sharedItems containsSemiMixedTypes="0" containsString="0" containsNumber="1" minValue="2247.75" maxValue="16000"/>
    </cacheField>
    <cacheField name="Ventes totales" numFmtId="165">
      <sharedItems containsSemiMixedTypes="0" containsString="0" containsNumber="1" minValue="3222.15" maxValue="20857"/>
    </cacheField>
  </cacheFields>
  <extLst>
    <ext xmlns:x14="http://schemas.microsoft.com/office/spreadsheetml/2009/9/main" uri="{725AE2AE-9491-48be-B2B4-4EB974FC3084}">
      <x14:pivotCacheDefinition pivotCacheId="108202806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rge ASSEMIEN" refreshedDate="46226.505452199075" createdVersion="8" refreshedVersion="8" minRefreshableVersion="3" recordCount="21" xr:uid="{D5CEAA88-5588-45CA-A559-80BEF1647FCC}">
  <cacheSource type="worksheet">
    <worksheetSource name="Tableau4"/>
  </cacheSource>
  <cacheFields count="7">
    <cacheField name="ID du titre" numFmtId="0">
      <sharedItems count="21">
        <s v="BU954"/>
        <s v="BU796"/>
        <s v="BU188"/>
        <s v="BU410"/>
        <s v="CO841"/>
        <s v="CO20"/>
        <s v="HO554"/>
        <s v="MO899"/>
        <s v="MO395"/>
        <s v="PS695"/>
        <s v="PO34"/>
        <s v="PO922"/>
        <s v="PO703"/>
        <s v="PS174"/>
        <s v="PS809"/>
        <s v="PS12"/>
        <s v="PS277"/>
        <s v="PS690"/>
        <s v="TR527"/>
        <s v="TR682"/>
        <s v="TR653"/>
      </sharedItems>
    </cacheField>
    <cacheField name="Auteur" numFmtId="0">
      <sharedItems count="21">
        <s v="Yee"/>
        <s v="Thorell"/>
        <s v="Zuber"/>
        <s v="Juhl"/>
        <s v="Lee"/>
        <s v="Hensien"/>
        <s v="Galvin"/>
        <s v="Cook"/>
        <s v="Duncan"/>
        <s v="Chen"/>
        <s v="Blue"/>
        <s v="Bott"/>
        <s v="Alberts"/>
        <s v="Alderson"/>
        <s v="Bacon Jr."/>
        <s v="Abolrous"/>
        <s v="Fakhouri"/>
        <s v="Goktepe"/>
        <s v="Hay"/>
        <s v="Hector"/>
        <s v="Gutierrez"/>
      </sharedItems>
    </cacheField>
    <cacheField name="Marge brute" numFmtId="167">
      <sharedItems containsSemiMixedTypes="0" containsString="0" containsNumber="1" minValue="3222.15" maxValue="19625"/>
    </cacheField>
    <cacheField name="Droit d auteur" numFmtId="9">
      <sharedItems containsSemiMixedTypes="0" containsString="0" containsNumber="1" minValue="0.08" maxValue="0.24"/>
    </cacheField>
    <cacheField name="Avance à l auteur" numFmtId="44">
      <sharedItems containsSemiMixedTypes="0" containsString="0" containsNumber="1" containsInteger="1" minValue="0" maxValue="15000"/>
    </cacheField>
    <cacheField name="Droit dû" numFmtId="44">
      <sharedItems containsSemiMixedTypes="0" containsString="0" containsNumber="1" minValue="-11191.2" maxValue="3140"/>
    </cacheField>
    <cacheField name="Total payé" numFmtId="44">
      <sharedItems containsSemiMixedTypes="0" containsString="0" containsNumber="1" minValue="322.21500000000015" maxValue="3808.79999999999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25"/>
    <n v="29.99"/>
    <n v="749.75"/>
    <n v="75"/>
    <n v="24.99"/>
    <n v="1874.2499999999998"/>
    <n v="375"/>
    <n v="19.989999999999998"/>
    <n v="7496.2499999999991"/>
    <n v="10120.249999999998"/>
  </r>
  <r>
    <x v="1"/>
    <x v="0"/>
    <n v="15"/>
    <n v="29.99"/>
    <n v="449.84999999999997"/>
    <n v="45"/>
    <n v="24.99"/>
    <n v="1124.55"/>
    <n v="225"/>
    <n v="19.989999999999998"/>
    <n v="4497.75"/>
    <n v="6072.1500000000005"/>
  </r>
  <r>
    <x v="2"/>
    <x v="0"/>
    <n v="16"/>
    <n v="32"/>
    <n v="512"/>
    <n v="48"/>
    <n v="27"/>
    <n v="1296"/>
    <n v="240"/>
    <n v="22"/>
    <n v="5280"/>
    <n v="7088"/>
  </r>
  <r>
    <x v="3"/>
    <x v="0"/>
    <n v="18"/>
    <n v="35"/>
    <n v="630"/>
    <n v="54"/>
    <n v="30"/>
    <n v="1620"/>
    <n v="270"/>
    <n v="25"/>
    <n v="6750"/>
    <n v="9000"/>
  </r>
  <r>
    <x v="4"/>
    <x v="1"/>
    <n v="22"/>
    <n v="40"/>
    <n v="880"/>
    <n v="66"/>
    <n v="35"/>
    <n v="2310"/>
    <n v="330"/>
    <n v="30"/>
    <n v="9900"/>
    <n v="13090"/>
  </r>
  <r>
    <x v="5"/>
    <x v="1"/>
    <n v="23"/>
    <n v="45"/>
    <n v="1035"/>
    <n v="69"/>
    <n v="40"/>
    <n v="2760"/>
    <n v="345"/>
    <n v="35"/>
    <n v="12075"/>
    <n v="15870"/>
  </r>
  <r>
    <x v="6"/>
    <x v="2"/>
    <n v="25"/>
    <n v="50"/>
    <n v="1250"/>
    <n v="75"/>
    <n v="45"/>
    <n v="3375"/>
    <n v="375"/>
    <n v="40"/>
    <n v="15000"/>
    <n v="19625"/>
  </r>
  <r>
    <x v="7"/>
    <x v="3"/>
    <n v="29"/>
    <n v="29.99"/>
    <n v="869.70999999999992"/>
    <n v="87"/>
    <n v="24.99"/>
    <n v="2174.1299999999997"/>
    <n v="435"/>
    <n v="19.989999999999998"/>
    <n v="8695.65"/>
    <n v="11739.489999999998"/>
  </r>
  <r>
    <x v="8"/>
    <x v="3"/>
    <n v="35"/>
    <n v="29.99"/>
    <n v="1049.6499999999999"/>
    <n v="105"/>
    <n v="24.99"/>
    <n v="2623.95"/>
    <n v="525"/>
    <n v="19.989999999999998"/>
    <n v="10494.75"/>
    <n v="14168.35"/>
  </r>
  <r>
    <x v="9"/>
    <x v="4"/>
    <n v="40"/>
    <n v="22"/>
    <n v="880"/>
    <n v="120"/>
    <n v="17"/>
    <n v="2040"/>
    <n v="600"/>
    <n v="12"/>
    <n v="7200"/>
    <n v="10120"/>
  </r>
  <r>
    <x v="10"/>
    <x v="5"/>
    <n v="15"/>
    <n v="19.989999999999998"/>
    <n v="299.84999999999997"/>
    <n v="45"/>
    <n v="14.99"/>
    <n v="674.55"/>
    <n v="225"/>
    <n v="9.99"/>
    <n v="2247.75"/>
    <n v="3222.15"/>
  </r>
  <r>
    <x v="11"/>
    <x v="5"/>
    <n v="20"/>
    <n v="19.989999999999998"/>
    <n v="399.79999999999995"/>
    <n v="60"/>
    <n v="14.99"/>
    <n v="899.4"/>
    <n v="300"/>
    <n v="9.99"/>
    <n v="2997"/>
    <n v="4296.2"/>
  </r>
  <r>
    <x v="12"/>
    <x v="5"/>
    <n v="25"/>
    <n v="19.989999999999998"/>
    <n v="499.74999999999994"/>
    <n v="75"/>
    <n v="14.99"/>
    <n v="1124.25"/>
    <n v="375"/>
    <n v="9.99"/>
    <n v="3746.25"/>
    <n v="5370.25"/>
  </r>
  <r>
    <x v="13"/>
    <x v="4"/>
    <n v="18"/>
    <n v="32.99"/>
    <n v="593.82000000000005"/>
    <n v="54"/>
    <n v="27.99"/>
    <n v="1511.4599999999998"/>
    <n v="270"/>
    <n v="22.99"/>
    <n v="6207.2999999999993"/>
    <n v="8312.58"/>
  </r>
  <r>
    <x v="14"/>
    <x v="4"/>
    <n v="19"/>
    <n v="19.989999999999998"/>
    <n v="379.80999999999995"/>
    <n v="57"/>
    <n v="14.99"/>
    <n v="854.43000000000006"/>
    <n v="285"/>
    <n v="9.99"/>
    <n v="2847.15"/>
    <n v="4081.39"/>
  </r>
  <r>
    <x v="15"/>
    <x v="4"/>
    <n v="20"/>
    <n v="20.95"/>
    <n v="419"/>
    <n v="60"/>
    <n v="15.95"/>
    <n v="957"/>
    <n v="300"/>
    <n v="10.95"/>
    <n v="3285"/>
    <n v="4661"/>
  </r>
  <r>
    <x v="16"/>
    <x v="4"/>
    <n v="25"/>
    <n v="25.99"/>
    <n v="649.75"/>
    <n v="75"/>
    <n v="20.99"/>
    <n v="1574.2499999999998"/>
    <n v="375"/>
    <n v="15.99"/>
    <n v="5996.25"/>
    <n v="8220.25"/>
  </r>
  <r>
    <x v="17"/>
    <x v="4"/>
    <n v="26"/>
    <n v="24.99"/>
    <n v="649.74"/>
    <n v="78"/>
    <n v="19.989999999999998"/>
    <n v="1559.2199999999998"/>
    <n v="290"/>
    <n v="14.99"/>
    <n v="4347.1000000000004"/>
    <n v="6556.0599999999995"/>
  </r>
  <r>
    <x v="18"/>
    <x v="6"/>
    <n v="27"/>
    <n v="29.99"/>
    <n v="809.7299999999999"/>
    <n v="81"/>
    <n v="24.99"/>
    <n v="2024.1899999999998"/>
    <n v="405"/>
    <n v="19.989999999999998"/>
    <n v="8095.95"/>
    <n v="10929.869999999999"/>
  </r>
  <r>
    <x v="19"/>
    <x v="6"/>
    <n v="30"/>
    <n v="29.99"/>
    <n v="899.69999999999993"/>
    <n v="90"/>
    <n v="24.99"/>
    <n v="2249.1"/>
    <n v="450"/>
    <n v="19.989999999999998"/>
    <n v="8995.5"/>
    <n v="12144.300000000001"/>
  </r>
  <r>
    <x v="20"/>
    <x v="4"/>
    <n v="15"/>
    <n v="50"/>
    <n v="750"/>
    <n v="79"/>
    <n v="15.94"/>
    <n v="1259.26"/>
    <n v="289"/>
    <n v="10.94"/>
    <n v="3161.66"/>
    <n v="5170.92"/>
  </r>
  <r>
    <x v="21"/>
    <x v="4"/>
    <n v="16"/>
    <n v="51"/>
    <n v="816"/>
    <n v="80"/>
    <n v="16"/>
    <n v="1280"/>
    <n v="300"/>
    <n v="15"/>
    <n v="4500"/>
    <n v="6596"/>
  </r>
  <r>
    <x v="22"/>
    <x v="4"/>
    <n v="18"/>
    <n v="51"/>
    <n v="918"/>
    <n v="81"/>
    <n v="17"/>
    <n v="1377"/>
    <n v="370"/>
    <n v="9.99"/>
    <n v="3696.3"/>
    <n v="5991.3"/>
  </r>
  <r>
    <x v="23"/>
    <x v="4"/>
    <n v="20"/>
    <n v="51"/>
    <n v="1020"/>
    <n v="82"/>
    <n v="12"/>
    <n v="984"/>
    <n v="320"/>
    <n v="50"/>
    <n v="16000"/>
    <n v="18004"/>
  </r>
  <r>
    <x v="6"/>
    <x v="2"/>
    <n v="26"/>
    <n v="51"/>
    <n v="1326"/>
    <n v="76"/>
    <n v="46"/>
    <n v="3496"/>
    <n v="376"/>
    <n v="41"/>
    <n v="15416"/>
    <n v="20238"/>
  </r>
  <r>
    <x v="24"/>
    <x v="2"/>
    <n v="27"/>
    <n v="52"/>
    <n v="1404"/>
    <n v="77"/>
    <n v="47"/>
    <n v="3619"/>
    <n v="377"/>
    <n v="42"/>
    <n v="15834"/>
    <n v="20857"/>
  </r>
  <r>
    <x v="5"/>
    <x v="1"/>
    <n v="24"/>
    <n v="46"/>
    <n v="1104"/>
    <n v="70"/>
    <n v="50"/>
    <n v="3500"/>
    <n v="346"/>
    <n v="36"/>
    <n v="12456"/>
    <n v="170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10120.25"/>
    <n v="0.1"/>
    <n v="5000"/>
    <n v="-3987.9749999999999"/>
    <n v="1012.0250000000001"/>
  </r>
  <r>
    <x v="1"/>
    <x v="1"/>
    <n v="6072.15"/>
    <n v="0.1"/>
    <n v="5000"/>
    <n v="-4392.7849999999999"/>
    <n v="607.21500000000015"/>
  </r>
  <r>
    <x v="2"/>
    <x v="2"/>
    <n v="7088"/>
    <n v="0.24"/>
    <n v="10125"/>
    <n v="-8423.880000000001"/>
    <n v="1701.119999999999"/>
  </r>
  <r>
    <x v="3"/>
    <x v="3"/>
    <n v="9000"/>
    <n v="0.1"/>
    <n v="5000"/>
    <n v="-4100"/>
    <n v="900"/>
  </r>
  <r>
    <x v="4"/>
    <x v="4"/>
    <n v="13090"/>
    <n v="0.12"/>
    <n v="0"/>
    <n v="1570.8"/>
    <n v="1570.8"/>
  </r>
  <r>
    <x v="5"/>
    <x v="5"/>
    <n v="15870"/>
    <n v="0.24"/>
    <n v="15000"/>
    <n v="-11191.2"/>
    <n v="3808.7999999999993"/>
  </r>
  <r>
    <x v="6"/>
    <x v="6"/>
    <n v="19625"/>
    <n v="0.16"/>
    <n v="0"/>
    <n v="3140"/>
    <n v="3140"/>
  </r>
  <r>
    <x v="7"/>
    <x v="7"/>
    <n v="11739.49"/>
    <n v="0.16"/>
    <n v="7000"/>
    <n v="-5121.6815999999999"/>
    <n v="1878.3184000000001"/>
  </r>
  <r>
    <x v="8"/>
    <x v="8"/>
    <n v="14168.35"/>
    <n v="0.1"/>
    <n v="8000"/>
    <n v="-6583.165"/>
    <n v="1416.835"/>
  </r>
  <r>
    <x v="9"/>
    <x v="9"/>
    <n v="10120"/>
    <n v="0.12"/>
    <n v="0"/>
    <n v="1214.3999999999999"/>
    <n v="1214.3999999999999"/>
  </r>
  <r>
    <x v="10"/>
    <x v="10"/>
    <n v="3222.15"/>
    <n v="0.1"/>
    <n v="7000"/>
    <n v="-6677.7849999999999"/>
    <n v="322.21500000000015"/>
  </r>
  <r>
    <x v="11"/>
    <x v="11"/>
    <n v="4296.2"/>
    <n v="0.12"/>
    <n v="2275"/>
    <n v="-1759.4560000000001"/>
    <n v="515.54399999999987"/>
  </r>
  <r>
    <x v="12"/>
    <x v="12"/>
    <n v="5370.25"/>
    <n v="0.1"/>
    <n v="6000"/>
    <n v="-5462.9750000000004"/>
    <n v="537.02499999999964"/>
  </r>
  <r>
    <x v="13"/>
    <x v="13"/>
    <n v="8312.58"/>
    <n v="0.09"/>
    <n v="2000"/>
    <n v="-1251.8678"/>
    <n v="748.13220000000001"/>
  </r>
  <r>
    <x v="14"/>
    <x v="14"/>
    <n v="4081.39"/>
    <n v="0.08"/>
    <n v="4000"/>
    <n v="-3673.4888000000001"/>
    <n v="326.51119999999992"/>
  </r>
  <r>
    <x v="15"/>
    <x v="15"/>
    <n v="4661"/>
    <n v="0.1"/>
    <n v="7000"/>
    <n v="-6533.9"/>
    <n v="466.10000000000036"/>
  </r>
  <r>
    <x v="16"/>
    <x v="16"/>
    <n v="8220.25"/>
    <n v="0.14000000000000001"/>
    <n v="4000"/>
    <n v="-2849.165"/>
    <n v="1150.835"/>
  </r>
  <r>
    <x v="17"/>
    <x v="17"/>
    <n v="8055.06"/>
    <n v="0.1"/>
    <n v="8000"/>
    <n v="-7194.4939999999997"/>
    <n v="805.50600000000031"/>
  </r>
  <r>
    <x v="18"/>
    <x v="18"/>
    <n v="10929.87"/>
    <n v="0.11"/>
    <n v="0"/>
    <n v="1202.2857000000001"/>
    <n v="1202.2857000000001"/>
  </r>
  <r>
    <x v="19"/>
    <x v="19"/>
    <n v="12144.3"/>
    <n v="0.11"/>
    <n v="0"/>
    <n v="1335.8729999999998"/>
    <n v="1335.8729999999998"/>
  </r>
  <r>
    <x v="20"/>
    <x v="20"/>
    <n v="12970.25"/>
    <n v="0.1"/>
    <n v="0"/>
    <n v="1297.0250000000001"/>
    <n v="1297.02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E899FF-821E-431F-A0B3-54493B2E267A}" name="Tableau croisé dynamique4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3:E36" firstHeaderRow="0" firstDataRow="1" firstDataCol="1"/>
  <pivotFields count="12">
    <pivotField axis="axisRow" showAll="0">
      <items count="26">
        <item x="2"/>
        <item x="3"/>
        <item x="1"/>
        <item x="0"/>
        <item x="5"/>
        <item x="4"/>
        <item x="6"/>
        <item x="24"/>
        <item x="8"/>
        <item x="7"/>
        <item x="15"/>
        <item x="20"/>
        <item x="13"/>
        <item x="21"/>
        <item x="22"/>
        <item x="23"/>
        <item x="16"/>
        <item x="17"/>
        <item x="9"/>
        <item x="14"/>
        <item x="10"/>
        <item x="12"/>
        <item x="11"/>
        <item x="18"/>
        <item x="19"/>
        <item t="default"/>
      </items>
    </pivotField>
    <pivotField axis="axisRow" showAll="0">
      <items count="8">
        <item x="0"/>
        <item x="3"/>
        <item x="6"/>
        <item x="5"/>
        <item x="1"/>
        <item x="2"/>
        <item x="4"/>
        <item t="default"/>
      </items>
    </pivotField>
    <pivotField showAll="0"/>
    <pivotField numFmtId="165" showAll="0"/>
    <pivotField dataField="1" numFmtId="165" showAll="0"/>
    <pivotField numFmtId="165" showAll="0"/>
    <pivotField numFmtId="165" showAll="0"/>
    <pivotField dataField="1" numFmtId="165" showAll="0"/>
    <pivotField numFmtId="165" showAll="0"/>
    <pivotField numFmtId="165" showAll="0"/>
    <pivotField dataField="1" numFmtId="165" showAll="0"/>
    <pivotField dataField="1" numFmtId="165" showAll="0"/>
  </pivotFields>
  <rowFields count="2">
    <field x="1"/>
    <field x="0"/>
  </rowFields>
  <rowItems count="33">
    <i>
      <x/>
    </i>
    <i r="1">
      <x/>
    </i>
    <i r="1">
      <x v="1"/>
    </i>
    <i r="1">
      <x v="2"/>
    </i>
    <i r="1">
      <x v="3"/>
    </i>
    <i>
      <x v="1"/>
    </i>
    <i r="1">
      <x v="8"/>
    </i>
    <i r="1">
      <x v="9"/>
    </i>
    <i>
      <x v="2"/>
    </i>
    <i r="1">
      <x v="23"/>
    </i>
    <i r="1">
      <x v="24"/>
    </i>
    <i>
      <x v="3"/>
    </i>
    <i r="1">
      <x v="20"/>
    </i>
    <i r="1">
      <x v="21"/>
    </i>
    <i r="1">
      <x v="22"/>
    </i>
    <i>
      <x v="4"/>
    </i>
    <i r="1">
      <x v="4"/>
    </i>
    <i r="1">
      <x v="5"/>
    </i>
    <i>
      <x v="5"/>
    </i>
    <i r="1">
      <x v="6"/>
    </i>
    <i r="1">
      <x v="7"/>
    </i>
    <i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Total des couvertures rigides" fld="4" baseField="0" baseItem="0"/>
    <dataField name="Somme de Total des livres de poche" fld="7" baseField="0" baseItem="0"/>
    <dataField name="Somme de Total du numérique" fld="10" baseField="0" baseItem="0"/>
    <dataField name="Somme de Ventes totales" fld="11" baseField="0" baseItem="0"/>
  </dataField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DC895-1EC1-477E-9C8F-DABD4DA1FEAD}" name="Tableau croisé dynamique8" cacheId="2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>
  <location ref="A2:C24" firstHeaderRow="0" firstDataRow="1" firstDataCol="1"/>
  <pivotFields count="7">
    <pivotField showAll="0">
      <items count="22">
        <item x="2"/>
        <item x="3"/>
        <item x="1"/>
        <item x="0"/>
        <item x="5"/>
        <item x="4"/>
        <item x="6"/>
        <item x="8"/>
        <item x="7"/>
        <item x="10"/>
        <item x="12"/>
        <item x="11"/>
        <item x="15"/>
        <item x="13"/>
        <item x="16"/>
        <item x="17"/>
        <item x="9"/>
        <item x="14"/>
        <item x="18"/>
        <item x="20"/>
        <item x="19"/>
        <item t="default"/>
      </items>
    </pivotField>
    <pivotField axis="axisRow" showAll="0">
      <items count="22">
        <item x="15"/>
        <item x="12"/>
        <item x="13"/>
        <item x="14"/>
        <item x="10"/>
        <item x="11"/>
        <item x="9"/>
        <item x="7"/>
        <item x="8"/>
        <item x="16"/>
        <item x="6"/>
        <item x="17"/>
        <item x="20"/>
        <item x="18"/>
        <item x="19"/>
        <item x="5"/>
        <item x="3"/>
        <item x="4"/>
        <item x="1"/>
        <item x="0"/>
        <item x="2"/>
        <item t="default"/>
      </items>
    </pivotField>
    <pivotField dataField="1" numFmtId="167" showAll="0"/>
    <pivotField numFmtId="9" showAll="0"/>
    <pivotField dataField="1" numFmtId="44" showAll="0"/>
    <pivotField numFmtId="44" showAll="0"/>
    <pivotField numFmtId="44"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Ventes de livres" fld="2" baseField="0" baseItem="0" numFmtId="2"/>
    <dataField name="Droits d'auteur" fld="4" baseField="0" baseItem="0" numFmtId="2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vres" displayName="Livres" ref="A3:E23" headerRowDxfId="40" dataDxfId="39" totalsRowDxfId="38">
  <autoFilter ref="A3:E23" xr:uid="{00000000-000C-0000-FFFF-FFFF00000000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0000000-0010-0000-0000-000001000000}" name="ID du titre" dataDxfId="37"/>
    <tableColumn id="2" xr3:uid="{00000000-0010-0000-0000-000002000000}" name="Titre" dataDxfId="36"/>
    <tableColumn id="3" xr3:uid="{00000000-0010-0000-0000-000003000000}" name="Description" dataDxfId="35"/>
    <tableColumn id="4" xr3:uid="{00000000-0010-0000-0000-000004000000}" name="Catégorie" dataDxfId="34"/>
    <tableColumn id="5" xr3:uid="{00000000-0010-0000-0000-000005000000}" name="Date de publication" dataDxfId="3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CCB358-22B4-4679-8FEC-D50EEF8B0A7E}" name="Tableau7" displayName="Tableau7" ref="A3:E26" totalsRowShown="0" headerRowDxfId="3" dataDxfId="2">
  <autoFilter ref="A3:E26" xr:uid="{89CCB358-22B4-4679-8FEC-D50EEF8B0A7E}"/>
  <tableColumns count="5">
    <tableColumn id="1" xr3:uid="{F7BEA815-D710-4AED-8A5A-609681EC6F09}" name="Numéro d’identification" dataDxfId="0"/>
    <tableColumn id="2" xr3:uid="{10D44EFA-BB03-4C9A-8E9D-01A6FBFE7F0B}" name="Nom" dataDxfId="1"/>
    <tableColumn id="3" xr3:uid="{EC372EAB-EF2D-435B-9304-4D42E2335FB9}" name="Prénom" dataDxfId="6"/>
    <tableColumn id="4" xr3:uid="{FE2908C6-91B5-4A7F-AD75-056AB92E80A2}" name="État" dataDxfId="5"/>
    <tableColumn id="5" xr3:uid="{3757A3F7-AF12-4238-8526-A4407820B97D}" name="Contrat signé" dataDxfId="4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75A8DB-FDB2-4E19-B905-FC220E0FE6A7}" name="Ventes" displayName="Ventes" ref="A3:L30" headerRowDxfId="24" totalsRowDxfId="23" headerRowBorderDxfId="21" tableBorderDxfId="22">
  <autoFilter ref="A3:L3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45BFD9A-3253-44A1-B1D1-D958FDA6D6AA}" name="ID du titre" dataDxfId="9"/>
    <tableColumn id="2" xr3:uid="{C6EC1E7C-818C-4A41-ABBB-5E5BF958AFDE}" name="Catégorie" dataDxfId="10"/>
    <tableColumn id="3" xr3:uid="{F02BF697-A196-4F45-B2BD-8695FCC4E0DE}" name="Couverture rigide vendu" dataDxfId="20"/>
    <tableColumn id="4" xr3:uid="{B372CF17-D1F3-4D7A-9B8D-EEFA1F456664}" name="Couverture rigide prix" dataDxfId="19"/>
    <tableColumn id="5" xr3:uid="{2C759BB5-C0DB-465B-80DB-797991D6C33B}" name="Total des couvertures rigides" dataDxfId="14">
      <calculatedColumnFormula>Ventes[[#This Row],[Couverture rigide vendu]]*Ventes[[#This Row],[Couverture rigide prix]]</calculatedColumnFormula>
    </tableColumn>
    <tableColumn id="6" xr3:uid="{98047CE4-FC4A-4F83-88F9-97A28D34EE86}" name="Livre de poche vendu" dataDxfId="18"/>
    <tableColumn id="7" xr3:uid="{4BA8EB44-D945-4721-B361-2487EA2302DA}" name="Livre de poche prix" dataDxfId="17"/>
    <tableColumn id="9" xr3:uid="{E055FDD3-4708-4ED1-9FEA-F44FDD2F1418}" name="Total des livres de poche" dataDxfId="13">
      <calculatedColumnFormula>Ventes[[#This Row],[Livre de poche vendu]]*Ventes[[#This Row],[Livre de poche prix]]</calculatedColumnFormula>
    </tableColumn>
    <tableColumn id="10" xr3:uid="{557C3E5C-19FA-4CF8-88F5-25FD0BEA5837}" name="Numérique vendu" dataDxfId="16"/>
    <tableColumn id="11" xr3:uid="{301830D4-0AC0-4BD1-81F5-C72DE701FEEC}" name="Prix du numérique" totalsRowFunction="sum" dataDxfId="15" totalsRowDxfId="8"/>
    <tableColumn id="12" xr3:uid="{9D146C5C-85F8-48B5-9DE3-991C2C0E6682}" name="Total du numérique" dataDxfId="12">
      <calculatedColumnFormula>Ventes[[#This Row],[Numérique vendu]]*Ventes[[#This Row],[Prix du numérique]]</calculatedColumnFormula>
    </tableColumn>
    <tableColumn id="8" xr3:uid="{5A108BD9-2E7D-4084-90D8-439BDA852E02}" name="Ventes totales" dataDxfId="11">
      <calculatedColumnFormula>Ventes[[#This Row],[Total du numérique]]+Ventes[[#This Row],[Total des livres de poche]]+Ventes[[#This Row],[Total des couvertures rigides]]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8306F8-4758-4D7A-9DDB-86CEACE5270B}" name="Tableau4" displayName="Tableau4" ref="A3:G24" totalsRowShown="0" headerRowDxfId="25" dataDxfId="26">
  <autoFilter ref="A3:G24" xr:uid="{142293CE-2834-450E-8553-0F8DD8B0F44D}"/>
  <tableColumns count="7">
    <tableColumn id="1" xr3:uid="{076B039E-E280-4898-822E-1A44AF400749}" name="ID du titre" dataDxfId="32"/>
    <tableColumn id="2" xr3:uid="{1BC3E8F9-202B-4635-8ED9-637112156C6B}" name="Auteur" dataDxfId="31"/>
    <tableColumn id="3" xr3:uid="{191749C0-1B9D-4531-B052-FF52AF84556C}" name="Marge brute" dataDxfId="30"/>
    <tableColumn id="4" xr3:uid="{9BF6DFFF-A446-4C2C-8124-A74722CC2B0D}" name="Droit d auteur" dataDxfId="29"/>
    <tableColumn id="5" xr3:uid="{938A090F-12C8-45FF-98D8-7833E66B99DA}" name="Avance à l auteur" dataDxfId="28"/>
    <tableColumn id="6" xr3:uid="{F4446A66-2B80-4F60-9E1D-4A87A7AE3327}" name="Droit dû" dataDxfId="7">
      <calculatedColumnFormula>(C4*D4)-E4</calculatedColumnFormula>
    </tableColumn>
    <tableColumn id="7" xr3:uid="{624264C9-02B1-4AED-AAC7-739C33928EFF}" name="Total payé" dataDxfId="27">
      <calculatedColumnFormula>Tableau4[[#This Row],[Avance à l auteur]]+Tableau4[[#This Row],[Droit dû]]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workbookViewId="0">
      <selection activeCell="A2" sqref="A2"/>
    </sheetView>
  </sheetViews>
  <sheetFormatPr baseColWidth="10" defaultColWidth="9.140625" defaultRowHeight="15" x14ac:dyDescent="0.25"/>
  <cols>
    <col min="1" max="1" width="17" customWidth="1"/>
    <col min="2" max="2" width="55" customWidth="1"/>
    <col min="3" max="3" width="65.140625" customWidth="1"/>
    <col min="4" max="4" width="27" customWidth="1"/>
    <col min="5" max="5" width="26.42578125" customWidth="1"/>
  </cols>
  <sheetData>
    <row r="1" spans="1:5" ht="25.5" x14ac:dyDescent="0.35">
      <c r="A1" s="10" t="s">
        <v>67</v>
      </c>
      <c r="B1" s="2"/>
      <c r="C1" s="1"/>
      <c r="D1" s="1"/>
      <c r="E1" s="1"/>
    </row>
    <row r="2" spans="1:5" ht="24" x14ac:dyDescent="0.35">
      <c r="A2" s="9" t="s">
        <v>68</v>
      </c>
      <c r="B2" s="2"/>
      <c r="C2" s="1"/>
      <c r="D2" s="1"/>
      <c r="E2" s="1"/>
    </row>
    <row r="3" spans="1:5" ht="19.5" customHeight="1" x14ac:dyDescent="0.25">
      <c r="A3" s="3" t="s">
        <v>69</v>
      </c>
      <c r="B3" s="3" t="s">
        <v>0</v>
      </c>
      <c r="C3" s="3" t="s">
        <v>1</v>
      </c>
      <c r="D3" s="7" t="s">
        <v>2</v>
      </c>
      <c r="E3" s="3" t="s">
        <v>3</v>
      </c>
    </row>
    <row r="4" spans="1:5" ht="33" x14ac:dyDescent="0.25">
      <c r="A4" s="4" t="s">
        <v>4</v>
      </c>
      <c r="B4" s="5" t="s">
        <v>5</v>
      </c>
      <c r="C4" s="6" t="s">
        <v>6</v>
      </c>
      <c r="D4" s="4" t="s">
        <v>7</v>
      </c>
      <c r="E4" s="8">
        <v>43477</v>
      </c>
    </row>
    <row r="5" spans="1:5" ht="33" x14ac:dyDescent="0.25">
      <c r="A5" s="4" t="s">
        <v>8</v>
      </c>
      <c r="B5" s="5" t="s">
        <v>9</v>
      </c>
      <c r="C5" s="6" t="s">
        <v>10</v>
      </c>
      <c r="D5" s="4" t="s">
        <v>7</v>
      </c>
      <c r="E5" s="8">
        <v>43478</v>
      </c>
    </row>
    <row r="6" spans="1:5" ht="33" x14ac:dyDescent="0.25">
      <c r="A6" s="4" t="s">
        <v>11</v>
      </c>
      <c r="B6" s="5" t="s">
        <v>12</v>
      </c>
      <c r="C6" s="6" t="s">
        <v>13</v>
      </c>
      <c r="D6" s="4" t="s">
        <v>7</v>
      </c>
      <c r="E6" s="8">
        <v>43510</v>
      </c>
    </row>
    <row r="7" spans="1:5" ht="33" x14ac:dyDescent="0.25">
      <c r="A7" s="4" t="s">
        <v>14</v>
      </c>
      <c r="B7" s="5" t="s">
        <v>15</v>
      </c>
      <c r="C7" s="6" t="s">
        <v>16</v>
      </c>
      <c r="D7" s="4" t="s">
        <v>7</v>
      </c>
      <c r="E7" s="8">
        <v>43511</v>
      </c>
    </row>
    <row r="8" spans="1:5" ht="33" x14ac:dyDescent="0.25">
      <c r="A8" s="4" t="s">
        <v>17</v>
      </c>
      <c r="B8" s="5" t="s">
        <v>18</v>
      </c>
      <c r="C8" s="6" t="s">
        <v>19</v>
      </c>
      <c r="D8" s="4" t="s">
        <v>20</v>
      </c>
      <c r="E8" s="8">
        <v>43540</v>
      </c>
    </row>
    <row r="9" spans="1:5" ht="33" x14ac:dyDescent="0.25">
      <c r="A9" s="4" t="s">
        <v>21</v>
      </c>
      <c r="B9" s="5" t="s">
        <v>22</v>
      </c>
      <c r="C9" s="6" t="s">
        <v>23</v>
      </c>
      <c r="D9" s="4" t="s">
        <v>20</v>
      </c>
      <c r="E9" s="8">
        <v>43541</v>
      </c>
    </row>
    <row r="10" spans="1:5" ht="33" x14ac:dyDescent="0.25">
      <c r="A10" s="4" t="s">
        <v>24</v>
      </c>
      <c r="B10" s="5" t="s">
        <v>25</v>
      </c>
      <c r="C10" s="6" t="s">
        <v>26</v>
      </c>
      <c r="D10" s="4" t="s">
        <v>27</v>
      </c>
      <c r="E10" s="8">
        <v>43573</v>
      </c>
    </row>
    <row r="11" spans="1:5" ht="33" x14ac:dyDescent="0.25">
      <c r="A11" s="4" t="s">
        <v>28</v>
      </c>
      <c r="B11" s="5" t="s">
        <v>29</v>
      </c>
      <c r="C11" s="6" t="s">
        <v>30</v>
      </c>
      <c r="D11" s="4" t="s">
        <v>20</v>
      </c>
      <c r="E11" s="8">
        <v>43574</v>
      </c>
    </row>
    <row r="12" spans="1:5" ht="33" x14ac:dyDescent="0.25">
      <c r="A12" s="4" t="s">
        <v>31</v>
      </c>
      <c r="B12" s="5" t="s">
        <v>32</v>
      </c>
      <c r="C12" s="6" t="s">
        <v>33</v>
      </c>
      <c r="D12" s="4" t="s">
        <v>20</v>
      </c>
      <c r="E12" s="8">
        <v>43605</v>
      </c>
    </row>
    <row r="13" spans="1:5" ht="16.5" x14ac:dyDescent="0.25">
      <c r="A13" s="4" t="s">
        <v>34</v>
      </c>
      <c r="B13" s="5" t="s">
        <v>35</v>
      </c>
      <c r="C13" s="6" t="s">
        <v>36</v>
      </c>
      <c r="D13" s="4" t="s">
        <v>7</v>
      </c>
      <c r="E13" s="8">
        <v>43606</v>
      </c>
    </row>
    <row r="14" spans="1:5" ht="16.5" x14ac:dyDescent="0.25">
      <c r="A14" s="4" t="s">
        <v>37</v>
      </c>
      <c r="B14" s="5" t="s">
        <v>38</v>
      </c>
      <c r="C14" s="6" t="s">
        <v>39</v>
      </c>
      <c r="D14" s="4" t="s">
        <v>7</v>
      </c>
      <c r="E14" s="8">
        <v>43638</v>
      </c>
    </row>
    <row r="15" spans="1:5" ht="16.5" x14ac:dyDescent="0.25">
      <c r="A15" s="4" t="s">
        <v>40</v>
      </c>
      <c r="B15" s="5" t="s">
        <v>41</v>
      </c>
      <c r="C15" s="6" t="s">
        <v>42</v>
      </c>
      <c r="D15" s="4" t="s">
        <v>27</v>
      </c>
      <c r="E15" s="8">
        <v>43639</v>
      </c>
    </row>
    <row r="16" spans="1:5" ht="16.5" x14ac:dyDescent="0.25">
      <c r="A16" s="4" t="s">
        <v>43</v>
      </c>
      <c r="B16" s="5" t="s">
        <v>44</v>
      </c>
      <c r="C16" s="6" t="s">
        <v>45</v>
      </c>
      <c r="D16" s="4" t="s">
        <v>27</v>
      </c>
      <c r="E16" s="8">
        <v>43670</v>
      </c>
    </row>
    <row r="17" spans="1:5" ht="16.5" x14ac:dyDescent="0.25">
      <c r="A17" s="4" t="s">
        <v>46</v>
      </c>
      <c r="B17" s="5" t="s">
        <v>47</v>
      </c>
      <c r="C17" s="6" t="s">
        <v>48</v>
      </c>
      <c r="D17" s="4" t="s">
        <v>20</v>
      </c>
      <c r="E17" s="8">
        <v>43671</v>
      </c>
    </row>
    <row r="18" spans="1:5" ht="16.5" x14ac:dyDescent="0.25">
      <c r="A18" s="4" t="s">
        <v>49</v>
      </c>
      <c r="B18" s="5" t="s">
        <v>50</v>
      </c>
      <c r="C18" s="6" t="s">
        <v>51</v>
      </c>
      <c r="D18" s="4" t="s">
        <v>20</v>
      </c>
      <c r="E18" s="8">
        <v>43703</v>
      </c>
    </row>
    <row r="19" spans="1:5" ht="16.5" x14ac:dyDescent="0.25">
      <c r="A19" s="4" t="s">
        <v>52</v>
      </c>
      <c r="B19" s="5" t="s">
        <v>53</v>
      </c>
      <c r="C19" s="6" t="s">
        <v>54</v>
      </c>
      <c r="D19" s="4" t="s">
        <v>7</v>
      </c>
      <c r="E19" s="8">
        <v>43704</v>
      </c>
    </row>
    <row r="20" spans="1:5" ht="33" x14ac:dyDescent="0.25">
      <c r="A20" s="4" t="s">
        <v>55</v>
      </c>
      <c r="B20" s="5" t="s">
        <v>56</v>
      </c>
      <c r="C20" s="6" t="s">
        <v>57</v>
      </c>
      <c r="D20" s="4" t="s">
        <v>7</v>
      </c>
      <c r="E20" s="8">
        <v>43736</v>
      </c>
    </row>
    <row r="21" spans="1:5" ht="16.5" x14ac:dyDescent="0.25">
      <c r="A21" s="4" t="s">
        <v>58</v>
      </c>
      <c r="B21" s="5" t="s">
        <v>59</v>
      </c>
      <c r="C21" s="6" t="s">
        <v>60</v>
      </c>
      <c r="D21" s="4" t="s">
        <v>27</v>
      </c>
      <c r="E21" s="8">
        <v>43737</v>
      </c>
    </row>
    <row r="22" spans="1:5" ht="16.5" x14ac:dyDescent="0.25">
      <c r="A22" s="4" t="s">
        <v>61</v>
      </c>
      <c r="B22" s="5" t="s">
        <v>62</v>
      </c>
      <c r="C22" s="6" t="s">
        <v>63</v>
      </c>
      <c r="D22" s="4" t="s">
        <v>20</v>
      </c>
      <c r="E22" s="8">
        <v>43768</v>
      </c>
    </row>
    <row r="23" spans="1:5" ht="16.5" x14ac:dyDescent="0.25">
      <c r="A23" s="4" t="s">
        <v>64</v>
      </c>
      <c r="B23" s="5" t="s">
        <v>65</v>
      </c>
      <c r="C23" s="6" t="s">
        <v>66</v>
      </c>
      <c r="D23" s="4" t="s">
        <v>7</v>
      </c>
      <c r="E23" s="8">
        <v>43769</v>
      </c>
    </row>
  </sheetData>
  <pageMargins left="0.75" right="0.75" top="1" bottom="1" header="0.5" footer="0.5"/>
  <pageSetup paperSize="9" orientation="portrait" horizontalDpi="4294967292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7DF08-754A-488A-989B-C74B05B9B2ED}">
  <dimension ref="A1:E26"/>
  <sheetViews>
    <sheetView topLeftCell="A13" workbookViewId="0">
      <selection activeCell="D14" sqref="D14"/>
    </sheetView>
  </sheetViews>
  <sheetFormatPr baseColWidth="10" defaultColWidth="9.140625" defaultRowHeight="15" x14ac:dyDescent="0.25"/>
  <cols>
    <col min="1" max="1" width="27.85546875" customWidth="1"/>
    <col min="2" max="2" width="14" customWidth="1"/>
    <col min="3" max="3" width="15.28515625" customWidth="1"/>
    <col min="4" max="4" width="13" customWidth="1"/>
    <col min="5" max="5" width="19.42578125" customWidth="1"/>
  </cols>
  <sheetData>
    <row r="1" spans="1:5" ht="25.5" x14ac:dyDescent="0.35">
      <c r="A1" s="10" t="s">
        <v>67</v>
      </c>
      <c r="B1" s="10"/>
      <c r="C1" s="10"/>
      <c r="D1" s="10"/>
      <c r="E1" s="10"/>
    </row>
    <row r="2" spans="1:5" ht="18" x14ac:dyDescent="0.25">
      <c r="A2" s="9" t="s">
        <v>216</v>
      </c>
      <c r="B2" s="9"/>
      <c r="C2" s="9"/>
      <c r="D2" s="9"/>
      <c r="E2" s="9"/>
    </row>
    <row r="3" spans="1:5" ht="16.5" x14ac:dyDescent="0.3">
      <c r="A3" s="11" t="s">
        <v>152</v>
      </c>
      <c r="B3" s="11" t="s">
        <v>153</v>
      </c>
      <c r="C3" s="11" t="s">
        <v>154</v>
      </c>
      <c r="D3" s="11" t="s">
        <v>155</v>
      </c>
      <c r="E3" s="11" t="s">
        <v>156</v>
      </c>
    </row>
    <row r="4" spans="1:5" ht="16.5" x14ac:dyDescent="0.3">
      <c r="A4" s="55" t="s">
        <v>157</v>
      </c>
      <c r="B4" s="11" t="s">
        <v>90</v>
      </c>
      <c r="C4" s="11" t="s">
        <v>158</v>
      </c>
      <c r="D4" s="11" t="s">
        <v>159</v>
      </c>
      <c r="E4" s="11" t="s">
        <v>160</v>
      </c>
    </row>
    <row r="5" spans="1:5" ht="16.5" x14ac:dyDescent="0.3">
      <c r="A5" s="55" t="s">
        <v>161</v>
      </c>
      <c r="B5" s="11" t="s">
        <v>91</v>
      </c>
      <c r="C5" s="11" t="s">
        <v>162</v>
      </c>
      <c r="D5" s="11" t="s">
        <v>159</v>
      </c>
      <c r="E5" s="11" t="s">
        <v>160</v>
      </c>
    </row>
    <row r="6" spans="1:5" ht="16.5" x14ac:dyDescent="0.3">
      <c r="A6" s="55" t="s">
        <v>163</v>
      </c>
      <c r="B6" s="11" t="s">
        <v>92</v>
      </c>
      <c r="C6" s="11" t="s">
        <v>164</v>
      </c>
      <c r="D6" s="11" t="s">
        <v>159</v>
      </c>
      <c r="E6" s="11" t="s">
        <v>160</v>
      </c>
    </row>
    <row r="7" spans="1:5" ht="16.5" x14ac:dyDescent="0.3">
      <c r="A7" s="55" t="s">
        <v>165</v>
      </c>
      <c r="B7" s="11" t="s">
        <v>93</v>
      </c>
      <c r="C7" s="11" t="s">
        <v>166</v>
      </c>
      <c r="D7" s="11" t="s">
        <v>159</v>
      </c>
      <c r="E7" s="11" t="s">
        <v>160</v>
      </c>
    </row>
    <row r="8" spans="1:5" ht="16.5" x14ac:dyDescent="0.3">
      <c r="A8" s="55" t="s">
        <v>167</v>
      </c>
      <c r="B8" s="11" t="s">
        <v>74</v>
      </c>
      <c r="C8" s="11" t="s">
        <v>168</v>
      </c>
      <c r="D8" s="11" t="s">
        <v>159</v>
      </c>
      <c r="E8" s="11" t="s">
        <v>160</v>
      </c>
    </row>
    <row r="9" spans="1:5" ht="16.5" x14ac:dyDescent="0.3">
      <c r="A9" s="55" t="s">
        <v>169</v>
      </c>
      <c r="B9" s="11" t="s">
        <v>94</v>
      </c>
      <c r="C9" s="11" t="s">
        <v>170</v>
      </c>
      <c r="D9" s="11" t="s">
        <v>171</v>
      </c>
      <c r="E9" s="11" t="s">
        <v>172</v>
      </c>
    </row>
    <row r="10" spans="1:5" ht="16.5" x14ac:dyDescent="0.3">
      <c r="A10" s="55" t="s">
        <v>173</v>
      </c>
      <c r="B10" s="11" t="s">
        <v>95</v>
      </c>
      <c r="C10" s="11" t="s">
        <v>174</v>
      </c>
      <c r="D10" s="11" t="s">
        <v>159</v>
      </c>
      <c r="E10" s="11" t="s">
        <v>160</v>
      </c>
    </row>
    <row r="11" spans="1:5" ht="16.5" x14ac:dyDescent="0.3">
      <c r="A11" s="55" t="s">
        <v>175</v>
      </c>
      <c r="B11" s="11" t="s">
        <v>76</v>
      </c>
      <c r="C11" s="11" t="s">
        <v>176</v>
      </c>
      <c r="D11" s="11" t="s">
        <v>159</v>
      </c>
      <c r="E11" s="11" t="s">
        <v>160</v>
      </c>
    </row>
    <row r="12" spans="1:5" ht="16.5" x14ac:dyDescent="0.3">
      <c r="A12" s="55" t="s">
        <v>177</v>
      </c>
      <c r="B12" s="11" t="s">
        <v>77</v>
      </c>
      <c r="C12" s="11" t="s">
        <v>178</v>
      </c>
      <c r="D12" s="11" t="s">
        <v>159</v>
      </c>
      <c r="E12" s="11" t="s">
        <v>160</v>
      </c>
    </row>
    <row r="13" spans="1:5" ht="16.5" x14ac:dyDescent="0.3">
      <c r="A13" s="55" t="s">
        <v>179</v>
      </c>
      <c r="B13" s="11" t="s">
        <v>78</v>
      </c>
      <c r="C13" s="11" t="s">
        <v>180</v>
      </c>
      <c r="D13" s="11" t="s">
        <v>159</v>
      </c>
      <c r="E13" s="11" t="s">
        <v>160</v>
      </c>
    </row>
    <row r="14" spans="1:5" ht="16.5" x14ac:dyDescent="0.3">
      <c r="A14" s="55" t="s">
        <v>181</v>
      </c>
      <c r="B14" s="11" t="s">
        <v>79</v>
      </c>
      <c r="C14" s="11" t="s">
        <v>182</v>
      </c>
      <c r="D14" s="11" t="s">
        <v>183</v>
      </c>
      <c r="E14" s="11" t="s">
        <v>172</v>
      </c>
    </row>
    <row r="15" spans="1:5" ht="16.5" x14ac:dyDescent="0.3">
      <c r="A15" s="55" t="s">
        <v>184</v>
      </c>
      <c r="B15" s="11" t="s">
        <v>101</v>
      </c>
      <c r="C15" s="11" t="s">
        <v>185</v>
      </c>
      <c r="D15" s="11" t="s">
        <v>186</v>
      </c>
      <c r="E15" s="11" t="s">
        <v>160</v>
      </c>
    </row>
    <row r="16" spans="1:5" ht="16.5" x14ac:dyDescent="0.3">
      <c r="A16" s="55" t="s">
        <v>187</v>
      </c>
      <c r="B16" s="11" t="s">
        <v>80</v>
      </c>
      <c r="C16" s="11" t="s">
        <v>188</v>
      </c>
      <c r="D16" s="11" t="s">
        <v>159</v>
      </c>
      <c r="E16" s="11" t="s">
        <v>160</v>
      </c>
    </row>
    <row r="17" spans="1:5" ht="16.5" x14ac:dyDescent="0.3">
      <c r="A17" s="55" t="s">
        <v>189</v>
      </c>
      <c r="B17" s="11" t="s">
        <v>103</v>
      </c>
      <c r="C17" s="11" t="s">
        <v>190</v>
      </c>
      <c r="D17" s="11" t="s">
        <v>191</v>
      </c>
      <c r="E17" s="11" t="s">
        <v>160</v>
      </c>
    </row>
    <row r="18" spans="1:5" ht="16.5" x14ac:dyDescent="0.3">
      <c r="A18" s="55" t="s">
        <v>192</v>
      </c>
      <c r="B18" s="11" t="s">
        <v>83</v>
      </c>
      <c r="C18" s="11" t="s">
        <v>193</v>
      </c>
      <c r="D18" s="11" t="s">
        <v>194</v>
      </c>
      <c r="E18" s="11" t="s">
        <v>160</v>
      </c>
    </row>
    <row r="19" spans="1:5" ht="16.5" x14ac:dyDescent="0.3">
      <c r="A19" s="55" t="s">
        <v>195</v>
      </c>
      <c r="B19" s="11" t="s">
        <v>196</v>
      </c>
      <c r="C19" s="11" t="s">
        <v>197</v>
      </c>
      <c r="D19" s="11" t="s">
        <v>159</v>
      </c>
      <c r="E19" s="11" t="s">
        <v>172</v>
      </c>
    </row>
    <row r="20" spans="1:5" ht="16.5" x14ac:dyDescent="0.3">
      <c r="A20" s="55" t="s">
        <v>198</v>
      </c>
      <c r="B20" s="11" t="s">
        <v>86</v>
      </c>
      <c r="C20" s="11" t="s">
        <v>199</v>
      </c>
      <c r="D20" s="11" t="s">
        <v>159</v>
      </c>
      <c r="E20" s="11" t="s">
        <v>160</v>
      </c>
    </row>
    <row r="21" spans="1:5" ht="16.5" x14ac:dyDescent="0.3">
      <c r="A21" s="55" t="s">
        <v>200</v>
      </c>
      <c r="B21" s="11" t="s">
        <v>105</v>
      </c>
      <c r="C21" s="11" t="s">
        <v>201</v>
      </c>
      <c r="D21" s="11" t="s">
        <v>159</v>
      </c>
      <c r="E21" s="11" t="s">
        <v>160</v>
      </c>
    </row>
    <row r="22" spans="1:5" ht="16.5" x14ac:dyDescent="0.3">
      <c r="A22" s="55" t="s">
        <v>202</v>
      </c>
      <c r="B22" s="11" t="s">
        <v>107</v>
      </c>
      <c r="C22" s="11" t="s">
        <v>203</v>
      </c>
      <c r="D22" s="11" t="s">
        <v>204</v>
      </c>
      <c r="E22" s="11" t="s">
        <v>160</v>
      </c>
    </row>
    <row r="23" spans="1:5" ht="16.5" x14ac:dyDescent="0.3">
      <c r="A23" s="55" t="s">
        <v>205</v>
      </c>
      <c r="B23" s="11" t="s">
        <v>109</v>
      </c>
      <c r="C23" s="11" t="s">
        <v>206</v>
      </c>
      <c r="D23" s="11" t="s">
        <v>159</v>
      </c>
      <c r="E23" s="11" t="s">
        <v>160</v>
      </c>
    </row>
    <row r="24" spans="1:5" ht="16.5" x14ac:dyDescent="0.3">
      <c r="A24" s="55" t="s">
        <v>207</v>
      </c>
      <c r="B24" s="11" t="s">
        <v>111</v>
      </c>
      <c r="C24" s="11" t="s">
        <v>208</v>
      </c>
      <c r="D24" s="11" t="s">
        <v>159</v>
      </c>
      <c r="E24" s="11" t="s">
        <v>172</v>
      </c>
    </row>
    <row r="25" spans="1:5" ht="16.5" x14ac:dyDescent="0.3">
      <c r="A25" s="55" t="s">
        <v>209</v>
      </c>
      <c r="B25" s="11" t="s">
        <v>210</v>
      </c>
      <c r="C25" s="11" t="s">
        <v>211</v>
      </c>
      <c r="D25" s="11" t="s">
        <v>212</v>
      </c>
      <c r="E25" s="11" t="s">
        <v>160</v>
      </c>
    </row>
    <row r="26" spans="1:5" ht="16.5" x14ac:dyDescent="0.3">
      <c r="A26" s="55" t="s">
        <v>213</v>
      </c>
      <c r="B26" s="11" t="s">
        <v>214</v>
      </c>
      <c r="C26" s="11" t="s">
        <v>215</v>
      </c>
      <c r="D26" s="11" t="s">
        <v>212</v>
      </c>
      <c r="E26" s="11" t="s">
        <v>160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094F5-195F-4B7A-977B-420EEDB9BF7C}">
  <dimension ref="A1:P30"/>
  <sheetViews>
    <sheetView topLeftCell="B16" zoomScale="110" zoomScaleNormal="110" workbookViewId="0">
      <selection activeCell="K16" sqref="K16"/>
    </sheetView>
  </sheetViews>
  <sheetFormatPr baseColWidth="10" defaultColWidth="9.140625" defaultRowHeight="15" x14ac:dyDescent="0.25"/>
  <cols>
    <col min="1" max="1" width="16" customWidth="1"/>
    <col min="2" max="2" width="22" bestFit="1" customWidth="1"/>
    <col min="3" max="4" width="16" customWidth="1"/>
    <col min="5" max="5" width="17.140625" customWidth="1"/>
    <col min="6" max="6" width="17.5703125" customWidth="1"/>
    <col min="7" max="11" width="18" customWidth="1"/>
    <col min="12" max="12" width="18.5703125" customWidth="1"/>
    <col min="14" max="14" width="29.7109375" customWidth="1"/>
    <col min="15" max="15" width="19.42578125" customWidth="1"/>
    <col min="16" max="16" width="22.85546875" customWidth="1"/>
  </cols>
  <sheetData>
    <row r="1" spans="1:16" ht="25.5" x14ac:dyDescent="0.35">
      <c r="A1" s="10" t="s">
        <v>67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6" ht="18" customHeight="1" x14ac:dyDescent="0.3">
      <c r="A2" s="9" t="s">
        <v>123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N2" s="43" t="s">
        <v>113</v>
      </c>
      <c r="O2" s="40"/>
      <c r="P2" s="40"/>
    </row>
    <row r="3" spans="1:16" ht="45" x14ac:dyDescent="0.3">
      <c r="A3" s="37" t="s">
        <v>69</v>
      </c>
      <c r="B3" s="29" t="s">
        <v>2</v>
      </c>
      <c r="C3" s="29" t="s">
        <v>115</v>
      </c>
      <c r="D3" s="29" t="s">
        <v>124</v>
      </c>
      <c r="E3" s="29" t="s">
        <v>116</v>
      </c>
      <c r="F3" s="29" t="s">
        <v>117</v>
      </c>
      <c r="G3" s="29" t="s">
        <v>118</v>
      </c>
      <c r="H3" s="30" t="s">
        <v>119</v>
      </c>
      <c r="I3" s="30" t="s">
        <v>120</v>
      </c>
      <c r="J3" s="30" t="s">
        <v>121</v>
      </c>
      <c r="K3" s="30" t="s">
        <v>122</v>
      </c>
      <c r="L3" s="30" t="s">
        <v>114</v>
      </c>
      <c r="N3" s="11"/>
      <c r="O3" s="44" t="s">
        <v>140</v>
      </c>
      <c r="P3" s="44" t="s">
        <v>141</v>
      </c>
    </row>
    <row r="4" spans="1:16" ht="16.5" x14ac:dyDescent="0.3">
      <c r="A4" s="38" t="s">
        <v>75</v>
      </c>
      <c r="B4" s="31" t="s">
        <v>7</v>
      </c>
      <c r="C4" s="31">
        <v>25</v>
      </c>
      <c r="D4" s="32">
        <v>29.99</v>
      </c>
      <c r="E4" s="32">
        <f>Ventes[[#This Row],[Couverture rigide vendu]]*Ventes[[#This Row],[Couverture rigide prix]]</f>
        <v>749.75</v>
      </c>
      <c r="F4" s="32">
        <v>75</v>
      </c>
      <c r="G4" s="32">
        <v>24.99</v>
      </c>
      <c r="H4" s="33">
        <f>Ventes[[#This Row],[Livre de poche vendu]]*Ventes[[#This Row],[Livre de poche prix]]</f>
        <v>1874.2499999999998</v>
      </c>
      <c r="I4" s="33">
        <v>375</v>
      </c>
      <c r="J4" s="33">
        <v>19.989999999999998</v>
      </c>
      <c r="K4" s="33">
        <f>Ventes[[#This Row],[Numérique vendu]]*Ventes[[#This Row],[Prix du numérique]]</f>
        <v>7496.2499999999991</v>
      </c>
      <c r="L4" s="33">
        <f>Ventes[[#This Row],[Total du numérique]]+Ventes[[#This Row],[Total des livres de poche]]+Ventes[[#This Row],[Total des couvertures rigides]]</f>
        <v>10120.249999999998</v>
      </c>
      <c r="N4" s="42" t="s">
        <v>142</v>
      </c>
      <c r="O4" s="45">
        <v>147399.9</v>
      </c>
      <c r="P4" s="47">
        <f>O4/$O$7</f>
        <v>0.74012081149833187</v>
      </c>
    </row>
    <row r="5" spans="1:16" ht="16.5" x14ac:dyDescent="0.3">
      <c r="A5" s="38" t="s">
        <v>8</v>
      </c>
      <c r="B5" s="31" t="s">
        <v>7</v>
      </c>
      <c r="C5" s="31">
        <v>15</v>
      </c>
      <c r="D5" s="32">
        <v>29.99</v>
      </c>
      <c r="E5" s="32">
        <f>Ventes[[#This Row],[Couverture rigide vendu]]*Ventes[[#This Row],[Couverture rigide prix]]</f>
        <v>449.84999999999997</v>
      </c>
      <c r="F5" s="32">
        <v>45</v>
      </c>
      <c r="G5" s="32">
        <v>24.99</v>
      </c>
      <c r="H5" s="33">
        <f>Ventes[[#This Row],[Livre de poche vendu]]*Ventes[[#This Row],[Livre de poche prix]]</f>
        <v>1124.55</v>
      </c>
      <c r="I5" s="33">
        <v>225</v>
      </c>
      <c r="J5" s="33">
        <v>19.989999999999998</v>
      </c>
      <c r="K5" s="33">
        <f>Ventes[[#This Row],[Numérique vendu]]*Ventes[[#This Row],[Prix du numérique]]</f>
        <v>4497.75</v>
      </c>
      <c r="L5" s="33">
        <f>Ventes[[#This Row],[Total du numérique]]+Ventes[[#This Row],[Total des livres de poche]]+Ventes[[#This Row],[Total des couvertures rigides]]</f>
        <v>6072.1500000000005</v>
      </c>
      <c r="N5" s="42" t="s">
        <v>143</v>
      </c>
      <c r="O5" s="45">
        <v>36949.980000000003</v>
      </c>
      <c r="P5" s="47">
        <f t="shared" ref="P5:P6" si="0">O5/$O$7</f>
        <v>0.18553234556093415</v>
      </c>
    </row>
    <row r="6" spans="1:16" ht="16.5" x14ac:dyDescent="0.3">
      <c r="A6" s="38" t="s">
        <v>11</v>
      </c>
      <c r="B6" s="31" t="s">
        <v>7</v>
      </c>
      <c r="C6" s="31">
        <v>16</v>
      </c>
      <c r="D6" s="32">
        <v>32</v>
      </c>
      <c r="E6" s="32">
        <f>Ventes[[#This Row],[Couverture rigide vendu]]*Ventes[[#This Row],[Couverture rigide prix]]</f>
        <v>512</v>
      </c>
      <c r="F6" s="32">
        <v>48</v>
      </c>
      <c r="G6" s="32">
        <v>27</v>
      </c>
      <c r="H6" s="33">
        <f>Ventes[[#This Row],[Livre de poche vendu]]*Ventes[[#This Row],[Livre de poche prix]]</f>
        <v>1296</v>
      </c>
      <c r="I6" s="33">
        <v>240</v>
      </c>
      <c r="J6" s="33">
        <v>22</v>
      </c>
      <c r="K6" s="33">
        <f>Ventes[[#This Row],[Numérique vendu]]*Ventes[[#This Row],[Prix du numérique]]</f>
        <v>5280</v>
      </c>
      <c r="L6" s="33">
        <f>Ventes[[#This Row],[Total du numérique]]+Ventes[[#This Row],[Total des livres de poche]]+Ventes[[#This Row],[Total des couvertures rigides]]</f>
        <v>7088</v>
      </c>
      <c r="N6" s="42" t="s">
        <v>144</v>
      </c>
      <c r="O6" s="45">
        <v>14806.66</v>
      </c>
      <c r="P6" s="47">
        <f t="shared" si="0"/>
        <v>7.4346842940733959E-2</v>
      </c>
    </row>
    <row r="7" spans="1:16" x14ac:dyDescent="0.25">
      <c r="A7" s="38" t="s">
        <v>14</v>
      </c>
      <c r="B7" s="31" t="s">
        <v>7</v>
      </c>
      <c r="C7" s="31">
        <v>18</v>
      </c>
      <c r="D7" s="32">
        <v>35</v>
      </c>
      <c r="E7" s="32">
        <f>Ventes[[#This Row],[Couverture rigide vendu]]*Ventes[[#This Row],[Couverture rigide prix]]</f>
        <v>630</v>
      </c>
      <c r="F7" s="32">
        <v>54</v>
      </c>
      <c r="G7" s="32">
        <v>30</v>
      </c>
      <c r="H7" s="33">
        <f>Ventes[[#This Row],[Livre de poche vendu]]*Ventes[[#This Row],[Livre de poche prix]]</f>
        <v>1620</v>
      </c>
      <c r="I7" s="33">
        <v>270</v>
      </c>
      <c r="J7" s="33">
        <v>25</v>
      </c>
      <c r="K7" s="33">
        <f>Ventes[[#This Row],[Numérique vendu]]*Ventes[[#This Row],[Prix du numérique]]</f>
        <v>6750</v>
      </c>
      <c r="L7" s="33">
        <f>Ventes[[#This Row],[Total du numérique]]+Ventes[[#This Row],[Total des livres de poche]]+Ventes[[#This Row],[Total des couvertures rigides]]</f>
        <v>9000</v>
      </c>
      <c r="N7" s="50" t="s">
        <v>145</v>
      </c>
      <c r="O7" s="48">
        <f>SUM(O4:O6)</f>
        <v>199156.54</v>
      </c>
      <c r="P7" s="49">
        <f>SUM(P4:P6)</f>
        <v>1</v>
      </c>
    </row>
    <row r="8" spans="1:16" x14ac:dyDescent="0.25">
      <c r="A8" s="38" t="s">
        <v>17</v>
      </c>
      <c r="B8" s="31" t="s">
        <v>20</v>
      </c>
      <c r="C8" s="31">
        <v>22</v>
      </c>
      <c r="D8" s="32">
        <v>40</v>
      </c>
      <c r="E8" s="32">
        <f>Ventes[[#This Row],[Couverture rigide vendu]]*Ventes[[#This Row],[Couverture rigide prix]]</f>
        <v>880</v>
      </c>
      <c r="F8" s="32">
        <v>66</v>
      </c>
      <c r="G8" s="32">
        <v>35</v>
      </c>
      <c r="H8" s="33">
        <f>Ventes[[#This Row],[Livre de poche vendu]]*Ventes[[#This Row],[Livre de poche prix]]</f>
        <v>2310</v>
      </c>
      <c r="I8" s="33">
        <v>330</v>
      </c>
      <c r="J8" s="33">
        <v>30</v>
      </c>
      <c r="K8" s="33">
        <f>Ventes[[#This Row],[Numérique vendu]]*Ventes[[#This Row],[Prix du numérique]]</f>
        <v>9900</v>
      </c>
      <c r="L8" s="33">
        <f>Ventes[[#This Row],[Total du numérique]]+Ventes[[#This Row],[Total des livres de poche]]+Ventes[[#This Row],[Total des couvertures rigides]]</f>
        <v>13090</v>
      </c>
      <c r="N8" s="41"/>
      <c r="O8" s="41"/>
      <c r="P8" s="46"/>
    </row>
    <row r="9" spans="1:16" x14ac:dyDescent="0.25">
      <c r="A9" s="38" t="s">
        <v>21</v>
      </c>
      <c r="B9" s="31" t="s">
        <v>20</v>
      </c>
      <c r="C9" s="31">
        <v>23</v>
      </c>
      <c r="D9" s="32">
        <v>45</v>
      </c>
      <c r="E9" s="32">
        <f>Ventes[[#This Row],[Couverture rigide vendu]]*Ventes[[#This Row],[Couverture rigide prix]]</f>
        <v>1035</v>
      </c>
      <c r="F9" s="32">
        <v>69</v>
      </c>
      <c r="G9" s="32">
        <v>40</v>
      </c>
      <c r="H9" s="33">
        <f>Ventes[[#This Row],[Livre de poche vendu]]*Ventes[[#This Row],[Livre de poche prix]]</f>
        <v>2760</v>
      </c>
      <c r="I9" s="33">
        <v>345</v>
      </c>
      <c r="J9" s="33">
        <v>35</v>
      </c>
      <c r="K9" s="33">
        <f>Ventes[[#This Row],[Numérique vendu]]*Ventes[[#This Row],[Prix du numérique]]</f>
        <v>12075</v>
      </c>
      <c r="L9" s="33">
        <f>Ventes[[#This Row],[Total du numérique]]+Ventes[[#This Row],[Total des livres de poche]]+Ventes[[#This Row],[Total des couvertures rigides]]</f>
        <v>15870</v>
      </c>
      <c r="N9" s="41"/>
      <c r="O9" s="41"/>
      <c r="P9" s="46"/>
    </row>
    <row r="10" spans="1:16" x14ac:dyDescent="0.25">
      <c r="A10" s="38" t="s">
        <v>24</v>
      </c>
      <c r="B10" s="31" t="s">
        <v>27</v>
      </c>
      <c r="C10" s="31">
        <v>25</v>
      </c>
      <c r="D10" s="32">
        <v>50</v>
      </c>
      <c r="E10" s="32">
        <f>Ventes[[#This Row],[Couverture rigide vendu]]*Ventes[[#This Row],[Couverture rigide prix]]</f>
        <v>1250</v>
      </c>
      <c r="F10" s="32">
        <v>75</v>
      </c>
      <c r="G10" s="32">
        <v>45</v>
      </c>
      <c r="H10" s="33">
        <f>Ventes[[#This Row],[Livre de poche vendu]]*Ventes[[#This Row],[Livre de poche prix]]</f>
        <v>3375</v>
      </c>
      <c r="I10" s="33">
        <v>375</v>
      </c>
      <c r="J10" s="33">
        <v>40</v>
      </c>
      <c r="K10" s="33">
        <f>Ventes[[#This Row],[Numérique vendu]]*Ventes[[#This Row],[Prix du numérique]]</f>
        <v>15000</v>
      </c>
      <c r="L10" s="33">
        <f>Ventes[[#This Row],[Total du numérique]]+Ventes[[#This Row],[Total des livres de poche]]+Ventes[[#This Row],[Total des couvertures rigides]]</f>
        <v>19625</v>
      </c>
      <c r="N10" s="41"/>
      <c r="O10" s="41"/>
      <c r="P10" s="46"/>
    </row>
    <row r="11" spans="1:16" x14ac:dyDescent="0.25">
      <c r="A11" s="38" t="s">
        <v>96</v>
      </c>
      <c r="B11" s="31" t="s">
        <v>125</v>
      </c>
      <c r="C11" s="31">
        <v>29</v>
      </c>
      <c r="D11" s="32">
        <v>29.99</v>
      </c>
      <c r="E11" s="32">
        <f>Ventes[[#This Row],[Couverture rigide vendu]]*Ventes[[#This Row],[Couverture rigide prix]]</f>
        <v>869.70999999999992</v>
      </c>
      <c r="F11" s="32">
        <v>87</v>
      </c>
      <c r="G11" s="32">
        <v>24.99</v>
      </c>
      <c r="H11" s="33">
        <f>Ventes[[#This Row],[Livre de poche vendu]]*Ventes[[#This Row],[Livre de poche prix]]</f>
        <v>2174.1299999999997</v>
      </c>
      <c r="I11" s="33">
        <v>435</v>
      </c>
      <c r="J11" s="33">
        <v>19.989999999999998</v>
      </c>
      <c r="K11" s="33">
        <f>Ventes[[#This Row],[Numérique vendu]]*Ventes[[#This Row],[Prix du numérique]]</f>
        <v>8695.65</v>
      </c>
      <c r="L11" s="33">
        <f>Ventes[[#This Row],[Total du numérique]]+Ventes[[#This Row],[Total des livres de poche]]+Ventes[[#This Row],[Total des couvertures rigides]]</f>
        <v>11739.489999999998</v>
      </c>
      <c r="N11" s="41"/>
      <c r="O11" s="41"/>
      <c r="P11" s="46"/>
    </row>
    <row r="12" spans="1:16" x14ac:dyDescent="0.25">
      <c r="A12" s="38" t="s">
        <v>97</v>
      </c>
      <c r="B12" s="31" t="s">
        <v>125</v>
      </c>
      <c r="C12" s="31">
        <v>35</v>
      </c>
      <c r="D12" s="32">
        <v>29.99</v>
      </c>
      <c r="E12" s="32">
        <f>Ventes[[#This Row],[Couverture rigide vendu]]*Ventes[[#This Row],[Couverture rigide prix]]</f>
        <v>1049.6499999999999</v>
      </c>
      <c r="F12" s="32">
        <v>105</v>
      </c>
      <c r="G12" s="32">
        <v>24.99</v>
      </c>
      <c r="H12" s="33">
        <f>Ventes[[#This Row],[Livre de poche vendu]]*Ventes[[#This Row],[Livre de poche prix]]</f>
        <v>2623.95</v>
      </c>
      <c r="I12" s="33">
        <v>525</v>
      </c>
      <c r="J12" s="33">
        <v>19.989999999999998</v>
      </c>
      <c r="K12" s="33">
        <f>Ventes[[#This Row],[Numérique vendu]]*Ventes[[#This Row],[Prix du numérique]]</f>
        <v>10494.75</v>
      </c>
      <c r="L12" s="33">
        <f>Ventes[[#This Row],[Total du numérique]]+Ventes[[#This Row],[Total des livres de poche]]+Ventes[[#This Row],[Total des couvertures rigides]]</f>
        <v>14168.35</v>
      </c>
      <c r="N12" s="41"/>
      <c r="O12" s="41"/>
      <c r="P12" s="46"/>
    </row>
    <row r="13" spans="1:16" x14ac:dyDescent="0.25">
      <c r="A13" s="38" t="s">
        <v>126</v>
      </c>
      <c r="B13" s="31" t="s">
        <v>127</v>
      </c>
      <c r="C13" s="31">
        <v>40</v>
      </c>
      <c r="D13" s="32">
        <v>22</v>
      </c>
      <c r="E13" s="32">
        <f>Ventes[[#This Row],[Couverture rigide vendu]]*Ventes[[#This Row],[Couverture rigide prix]]</f>
        <v>880</v>
      </c>
      <c r="F13" s="32">
        <v>120</v>
      </c>
      <c r="G13" s="32">
        <v>17</v>
      </c>
      <c r="H13" s="33">
        <f>Ventes[[#This Row],[Livre de poche vendu]]*Ventes[[#This Row],[Livre de poche prix]]</f>
        <v>2040</v>
      </c>
      <c r="I13" s="33">
        <v>600</v>
      </c>
      <c r="J13" s="33">
        <v>12</v>
      </c>
      <c r="K13" s="33">
        <f>Ventes[[#This Row],[Numérique vendu]]*Ventes[[#This Row],[Prix du numérique]]</f>
        <v>7200</v>
      </c>
      <c r="L13" s="33">
        <f>Ventes[[#This Row],[Total du numérique]]+Ventes[[#This Row],[Total des livres de poche]]+Ventes[[#This Row],[Total des couvertures rigides]]</f>
        <v>10120</v>
      </c>
      <c r="N13" s="41"/>
      <c r="O13" s="41"/>
      <c r="P13" s="46"/>
    </row>
    <row r="14" spans="1:16" x14ac:dyDescent="0.25">
      <c r="A14" s="38" t="s">
        <v>99</v>
      </c>
      <c r="B14" s="31" t="s">
        <v>128</v>
      </c>
      <c r="C14" s="31">
        <v>15</v>
      </c>
      <c r="D14" s="32">
        <v>19.989999999999998</v>
      </c>
      <c r="E14" s="32">
        <f>Ventes[[#This Row],[Couverture rigide vendu]]*Ventes[[#This Row],[Couverture rigide prix]]</f>
        <v>299.84999999999997</v>
      </c>
      <c r="F14" s="32">
        <v>45</v>
      </c>
      <c r="G14" s="32">
        <v>14.99</v>
      </c>
      <c r="H14" s="33">
        <f>Ventes[[#This Row],[Livre de poche vendu]]*Ventes[[#This Row],[Livre de poche prix]]</f>
        <v>674.55</v>
      </c>
      <c r="I14" s="33">
        <v>225</v>
      </c>
      <c r="J14" s="33">
        <v>9.99</v>
      </c>
      <c r="K14" s="33">
        <f>Ventes[[#This Row],[Numérique vendu]]*Ventes[[#This Row],[Prix du numérique]]</f>
        <v>2247.75</v>
      </c>
      <c r="L14" s="33">
        <f>Ventes[[#This Row],[Total du numérique]]+Ventes[[#This Row],[Total des livres de poche]]+Ventes[[#This Row],[Total des couvertures rigides]]</f>
        <v>3222.15</v>
      </c>
      <c r="N14" s="41"/>
      <c r="O14" s="41"/>
      <c r="P14" s="46"/>
    </row>
    <row r="15" spans="1:16" x14ac:dyDescent="0.25">
      <c r="A15" s="38" t="s">
        <v>100</v>
      </c>
      <c r="B15" s="31" t="s">
        <v>128</v>
      </c>
      <c r="C15" s="31">
        <v>20</v>
      </c>
      <c r="D15" s="32">
        <v>19.989999999999998</v>
      </c>
      <c r="E15" s="32">
        <f>Ventes[[#This Row],[Couverture rigide vendu]]*Ventes[[#This Row],[Couverture rigide prix]]</f>
        <v>399.79999999999995</v>
      </c>
      <c r="F15" s="32">
        <v>60</v>
      </c>
      <c r="G15" s="32">
        <v>14.99</v>
      </c>
      <c r="H15" s="33">
        <f>Ventes[[#This Row],[Livre de poche vendu]]*Ventes[[#This Row],[Livre de poche prix]]</f>
        <v>899.4</v>
      </c>
      <c r="I15" s="33">
        <v>300</v>
      </c>
      <c r="J15" s="33">
        <v>9.99</v>
      </c>
      <c r="K15" s="33">
        <f>Ventes[[#This Row],[Numérique vendu]]*Ventes[[#This Row],[Prix du numérique]]</f>
        <v>2997</v>
      </c>
      <c r="L15" s="33">
        <f>Ventes[[#This Row],[Total du numérique]]+Ventes[[#This Row],[Total des livres de poche]]+Ventes[[#This Row],[Total des couvertures rigides]]</f>
        <v>4296.2</v>
      </c>
    </row>
    <row r="16" spans="1:16" x14ac:dyDescent="0.25">
      <c r="A16" s="38" t="s">
        <v>102</v>
      </c>
      <c r="B16" s="31" t="s">
        <v>128</v>
      </c>
      <c r="C16" s="31">
        <v>25</v>
      </c>
      <c r="D16" s="32">
        <v>19.989999999999998</v>
      </c>
      <c r="E16" s="32">
        <f>Ventes[[#This Row],[Couverture rigide vendu]]*Ventes[[#This Row],[Couverture rigide prix]]</f>
        <v>499.74999999999994</v>
      </c>
      <c r="F16" s="32">
        <v>75</v>
      </c>
      <c r="G16" s="32">
        <v>14.99</v>
      </c>
      <c r="H16" s="33">
        <f>Ventes[[#This Row],[Livre de poche vendu]]*Ventes[[#This Row],[Livre de poche prix]]</f>
        <v>1124.25</v>
      </c>
      <c r="I16" s="33">
        <v>375</v>
      </c>
      <c r="J16" s="33">
        <v>9.99</v>
      </c>
      <c r="K16" s="33">
        <f>Ventes[[#This Row],[Numérique vendu]]*Ventes[[#This Row],[Prix du numérique]]</f>
        <v>3746.25</v>
      </c>
      <c r="L16" s="33">
        <f>Ventes[[#This Row],[Total du numérique]]+Ventes[[#This Row],[Total des livres de poche]]+Ventes[[#This Row],[Total des couvertures rigides]]</f>
        <v>5370.25</v>
      </c>
    </row>
    <row r="17" spans="1:12" x14ac:dyDescent="0.25">
      <c r="A17" s="38" t="s">
        <v>129</v>
      </c>
      <c r="B17" s="31" t="s">
        <v>127</v>
      </c>
      <c r="C17" s="31">
        <v>18</v>
      </c>
      <c r="D17" s="32">
        <v>32.99</v>
      </c>
      <c r="E17" s="32">
        <f>Ventes[[#This Row],[Couverture rigide vendu]]*Ventes[[#This Row],[Couverture rigide prix]]</f>
        <v>593.82000000000005</v>
      </c>
      <c r="F17" s="32">
        <v>54</v>
      </c>
      <c r="G17" s="32">
        <v>27.99</v>
      </c>
      <c r="H17" s="33">
        <f>Ventes[[#This Row],[Livre de poche vendu]]*Ventes[[#This Row],[Livre de poche prix]]</f>
        <v>1511.4599999999998</v>
      </c>
      <c r="I17" s="33">
        <v>270</v>
      </c>
      <c r="J17" s="33">
        <v>22.99</v>
      </c>
      <c r="K17" s="33">
        <f>Ventes[[#This Row],[Numérique vendu]]*Ventes[[#This Row],[Prix du numérique]]</f>
        <v>6207.2999999999993</v>
      </c>
      <c r="L17" s="33">
        <f>Ventes[[#This Row],[Total du numérique]]+Ventes[[#This Row],[Total des livres de poche]]+Ventes[[#This Row],[Total des couvertures rigides]]</f>
        <v>8312.58</v>
      </c>
    </row>
    <row r="18" spans="1:12" x14ac:dyDescent="0.25">
      <c r="A18" s="38" t="s">
        <v>130</v>
      </c>
      <c r="B18" s="31" t="s">
        <v>127</v>
      </c>
      <c r="C18" s="31">
        <v>19</v>
      </c>
      <c r="D18" s="32">
        <v>19.989999999999998</v>
      </c>
      <c r="E18" s="32">
        <f>Ventes[[#This Row],[Couverture rigide vendu]]*Ventes[[#This Row],[Couverture rigide prix]]</f>
        <v>379.80999999999995</v>
      </c>
      <c r="F18" s="32">
        <v>57</v>
      </c>
      <c r="G18" s="32">
        <v>14.99</v>
      </c>
      <c r="H18" s="33">
        <f>Ventes[[#This Row],[Livre de poche vendu]]*Ventes[[#This Row],[Livre de poche prix]]</f>
        <v>854.43000000000006</v>
      </c>
      <c r="I18" s="33">
        <v>285</v>
      </c>
      <c r="J18" s="33">
        <v>9.99</v>
      </c>
      <c r="K18" s="33">
        <f>Ventes[[#This Row],[Numérique vendu]]*Ventes[[#This Row],[Prix du numérique]]</f>
        <v>2847.15</v>
      </c>
      <c r="L18" s="33">
        <f>Ventes[[#This Row],[Total du numérique]]+Ventes[[#This Row],[Total des livres de poche]]+Ventes[[#This Row],[Total des couvertures rigides]]</f>
        <v>4081.39</v>
      </c>
    </row>
    <row r="19" spans="1:12" x14ac:dyDescent="0.25">
      <c r="A19" s="38" t="s">
        <v>131</v>
      </c>
      <c r="B19" s="31" t="s">
        <v>127</v>
      </c>
      <c r="C19" s="31">
        <v>20</v>
      </c>
      <c r="D19" s="32">
        <v>20.95</v>
      </c>
      <c r="E19" s="32">
        <f>Ventes[[#This Row],[Couverture rigide vendu]]*Ventes[[#This Row],[Couverture rigide prix]]</f>
        <v>419</v>
      </c>
      <c r="F19" s="32">
        <v>60</v>
      </c>
      <c r="G19" s="32">
        <v>15.95</v>
      </c>
      <c r="H19" s="33">
        <f>Ventes[[#This Row],[Livre de poche vendu]]*Ventes[[#This Row],[Livre de poche prix]]</f>
        <v>957</v>
      </c>
      <c r="I19" s="33">
        <v>300</v>
      </c>
      <c r="J19" s="33">
        <v>10.95</v>
      </c>
      <c r="K19" s="33">
        <f>Ventes[[#This Row],[Numérique vendu]]*Ventes[[#This Row],[Prix du numérique]]</f>
        <v>3285</v>
      </c>
      <c r="L19" s="33">
        <f>Ventes[[#This Row],[Total du numérique]]+Ventes[[#This Row],[Total des livres de poche]]+Ventes[[#This Row],[Total des couvertures rigides]]</f>
        <v>4661</v>
      </c>
    </row>
    <row r="20" spans="1:12" x14ac:dyDescent="0.25">
      <c r="A20" s="39" t="s">
        <v>132</v>
      </c>
      <c r="B20" s="34" t="s">
        <v>127</v>
      </c>
      <c r="C20" s="34">
        <v>25</v>
      </c>
      <c r="D20" s="35">
        <v>25.99</v>
      </c>
      <c r="E20" s="35">
        <f>Ventes[[#This Row],[Couverture rigide vendu]]*Ventes[[#This Row],[Couverture rigide prix]]</f>
        <v>649.75</v>
      </c>
      <c r="F20" s="35">
        <v>75</v>
      </c>
      <c r="G20" s="35">
        <v>20.99</v>
      </c>
      <c r="H20" s="36">
        <f>Ventes[[#This Row],[Livre de poche vendu]]*Ventes[[#This Row],[Livre de poche prix]]</f>
        <v>1574.2499999999998</v>
      </c>
      <c r="I20" s="36">
        <v>375</v>
      </c>
      <c r="J20" s="36">
        <v>15.99</v>
      </c>
      <c r="K20" s="36">
        <f>Ventes[[#This Row],[Numérique vendu]]*Ventes[[#This Row],[Prix du numérique]]</f>
        <v>5996.25</v>
      </c>
      <c r="L20" s="36">
        <f>Ventes[[#This Row],[Total du numérique]]+Ventes[[#This Row],[Total des livres de poche]]+Ventes[[#This Row],[Total des couvertures rigides]]</f>
        <v>8220.25</v>
      </c>
    </row>
    <row r="21" spans="1:12" x14ac:dyDescent="0.25">
      <c r="A21" s="38" t="s">
        <v>133</v>
      </c>
      <c r="B21" s="31" t="s">
        <v>127</v>
      </c>
      <c r="C21" s="31">
        <v>26</v>
      </c>
      <c r="D21" s="32">
        <v>24.99</v>
      </c>
      <c r="E21" s="32">
        <f>Ventes[[#This Row],[Couverture rigide vendu]]*Ventes[[#This Row],[Couverture rigide prix]]</f>
        <v>649.74</v>
      </c>
      <c r="F21" s="32">
        <v>78</v>
      </c>
      <c r="G21" s="32">
        <v>19.989999999999998</v>
      </c>
      <c r="H21" s="33">
        <f>Ventes[[#This Row],[Livre de poche vendu]]*Ventes[[#This Row],[Livre de poche prix]]</f>
        <v>1559.2199999999998</v>
      </c>
      <c r="I21" s="33">
        <v>290</v>
      </c>
      <c r="J21" s="33">
        <v>14.99</v>
      </c>
      <c r="K21" s="33">
        <f>Ventes[[#This Row],[Numérique vendu]]*Ventes[[#This Row],[Prix du numérique]]</f>
        <v>4347.1000000000004</v>
      </c>
      <c r="L21" s="33">
        <f>Ventes[[#This Row],[Total du numérique]]+Ventes[[#This Row],[Total des livres de poche]]+Ventes[[#This Row],[Total des couvertures rigides]]</f>
        <v>6556.0599999999995</v>
      </c>
    </row>
    <row r="22" spans="1:12" x14ac:dyDescent="0.25">
      <c r="A22" s="39" t="s">
        <v>106</v>
      </c>
      <c r="B22" s="34" t="s">
        <v>134</v>
      </c>
      <c r="C22" s="34">
        <v>27</v>
      </c>
      <c r="D22" s="35">
        <v>29.99</v>
      </c>
      <c r="E22" s="35">
        <f>Ventes[[#This Row],[Couverture rigide vendu]]*Ventes[[#This Row],[Couverture rigide prix]]</f>
        <v>809.7299999999999</v>
      </c>
      <c r="F22" s="35">
        <v>81</v>
      </c>
      <c r="G22" s="35">
        <v>24.99</v>
      </c>
      <c r="H22" s="36">
        <f>Ventes[[#This Row],[Livre de poche vendu]]*Ventes[[#This Row],[Livre de poche prix]]</f>
        <v>2024.1899999999998</v>
      </c>
      <c r="I22" s="36">
        <v>405</v>
      </c>
      <c r="J22" s="36">
        <v>19.989999999999998</v>
      </c>
      <c r="K22" s="36">
        <f>Ventes[[#This Row],[Numérique vendu]]*Ventes[[#This Row],[Prix du numérique]]</f>
        <v>8095.95</v>
      </c>
      <c r="L22" s="36">
        <f>Ventes[[#This Row],[Total du numérique]]+Ventes[[#This Row],[Total des livres de poche]]+Ventes[[#This Row],[Total des couvertures rigides]]</f>
        <v>10929.869999999999</v>
      </c>
    </row>
    <row r="23" spans="1:12" x14ac:dyDescent="0.25">
      <c r="A23" s="39" t="s">
        <v>108</v>
      </c>
      <c r="B23" s="34" t="s">
        <v>134</v>
      </c>
      <c r="C23" s="34">
        <v>30</v>
      </c>
      <c r="D23" s="35">
        <v>29.99</v>
      </c>
      <c r="E23" s="35">
        <f>Ventes[[#This Row],[Couverture rigide vendu]]*Ventes[[#This Row],[Couverture rigide prix]]</f>
        <v>899.69999999999993</v>
      </c>
      <c r="F23" s="35">
        <v>90</v>
      </c>
      <c r="G23" s="35">
        <v>24.99</v>
      </c>
      <c r="H23" s="36">
        <f>Ventes[[#This Row],[Livre de poche vendu]]*Ventes[[#This Row],[Livre de poche prix]]</f>
        <v>2249.1</v>
      </c>
      <c r="I23" s="36">
        <v>450</v>
      </c>
      <c r="J23" s="36">
        <v>19.989999999999998</v>
      </c>
      <c r="K23" s="36">
        <f>Ventes[[#This Row],[Numérique vendu]]*Ventes[[#This Row],[Prix du numérique]]</f>
        <v>8995.5</v>
      </c>
      <c r="L23" s="36">
        <f>Ventes[[#This Row],[Total du numérique]]+Ventes[[#This Row],[Total des livres de poche]]+Ventes[[#This Row],[Total des couvertures rigides]]</f>
        <v>12144.300000000001</v>
      </c>
    </row>
    <row r="24" spans="1:12" x14ac:dyDescent="0.25">
      <c r="A24" s="39" t="s">
        <v>135</v>
      </c>
      <c r="B24" s="34" t="s">
        <v>127</v>
      </c>
      <c r="C24" s="34">
        <v>15</v>
      </c>
      <c r="D24" s="35">
        <v>50</v>
      </c>
      <c r="E24" s="35">
        <f>Ventes[[#This Row],[Couverture rigide vendu]]*Ventes[[#This Row],[Couverture rigide prix]]</f>
        <v>750</v>
      </c>
      <c r="F24" s="35">
        <v>79</v>
      </c>
      <c r="G24" s="35">
        <v>15.94</v>
      </c>
      <c r="H24" s="36">
        <f>Ventes[[#This Row],[Livre de poche vendu]]*Ventes[[#This Row],[Livre de poche prix]]</f>
        <v>1259.26</v>
      </c>
      <c r="I24" s="36">
        <v>289</v>
      </c>
      <c r="J24" s="36">
        <v>10.94</v>
      </c>
      <c r="K24" s="36">
        <f>Ventes[[#This Row],[Numérique vendu]]*Ventes[[#This Row],[Prix du numérique]]</f>
        <v>3161.66</v>
      </c>
      <c r="L24" s="36">
        <f>Ventes[[#This Row],[Total du numérique]]+Ventes[[#This Row],[Total des livres de poche]]+Ventes[[#This Row],[Total des couvertures rigides]]</f>
        <v>5170.92</v>
      </c>
    </row>
    <row r="25" spans="1:12" x14ac:dyDescent="0.25">
      <c r="A25" s="39" t="s">
        <v>136</v>
      </c>
      <c r="B25" s="34" t="s">
        <v>127</v>
      </c>
      <c r="C25" s="34">
        <v>16</v>
      </c>
      <c r="D25" s="35">
        <v>51</v>
      </c>
      <c r="E25" s="35">
        <f>Ventes[[#This Row],[Couverture rigide vendu]]*Ventes[[#This Row],[Couverture rigide prix]]</f>
        <v>816</v>
      </c>
      <c r="F25" s="35">
        <v>80</v>
      </c>
      <c r="G25" s="35">
        <v>16</v>
      </c>
      <c r="H25" s="36">
        <f>Ventes[[#This Row],[Livre de poche vendu]]*Ventes[[#This Row],[Livre de poche prix]]</f>
        <v>1280</v>
      </c>
      <c r="I25" s="36">
        <v>300</v>
      </c>
      <c r="J25" s="36">
        <v>15</v>
      </c>
      <c r="K25" s="36">
        <f>Ventes[[#This Row],[Numérique vendu]]*Ventes[[#This Row],[Prix du numérique]]</f>
        <v>4500</v>
      </c>
      <c r="L25" s="36">
        <f>Ventes[[#This Row],[Total du numérique]]+Ventes[[#This Row],[Total des livres de poche]]+Ventes[[#This Row],[Total des couvertures rigides]]</f>
        <v>6596</v>
      </c>
    </row>
    <row r="26" spans="1:12" x14ac:dyDescent="0.25">
      <c r="A26" s="39" t="s">
        <v>137</v>
      </c>
      <c r="B26" s="34" t="s">
        <v>127</v>
      </c>
      <c r="C26" s="34">
        <v>18</v>
      </c>
      <c r="D26" s="35">
        <v>51</v>
      </c>
      <c r="E26" s="35">
        <f>Ventes[[#This Row],[Couverture rigide vendu]]*Ventes[[#This Row],[Couverture rigide prix]]</f>
        <v>918</v>
      </c>
      <c r="F26" s="35">
        <v>81</v>
      </c>
      <c r="G26" s="35">
        <v>17</v>
      </c>
      <c r="H26" s="36">
        <f>Ventes[[#This Row],[Livre de poche vendu]]*Ventes[[#This Row],[Livre de poche prix]]</f>
        <v>1377</v>
      </c>
      <c r="I26" s="36">
        <v>370</v>
      </c>
      <c r="J26" s="36">
        <v>9.99</v>
      </c>
      <c r="K26" s="36">
        <f>Ventes[[#This Row],[Numérique vendu]]*Ventes[[#This Row],[Prix du numérique]]</f>
        <v>3696.3</v>
      </c>
      <c r="L26" s="36">
        <f>Ventes[[#This Row],[Total du numérique]]+Ventes[[#This Row],[Total des livres de poche]]+Ventes[[#This Row],[Total des couvertures rigides]]</f>
        <v>5991.3</v>
      </c>
    </row>
    <row r="27" spans="1:12" x14ac:dyDescent="0.25">
      <c r="A27" s="39" t="s">
        <v>138</v>
      </c>
      <c r="B27" s="34" t="s">
        <v>127</v>
      </c>
      <c r="C27" s="34">
        <v>20</v>
      </c>
      <c r="D27" s="35">
        <v>51</v>
      </c>
      <c r="E27" s="35">
        <f>Ventes[[#This Row],[Couverture rigide vendu]]*Ventes[[#This Row],[Couverture rigide prix]]</f>
        <v>1020</v>
      </c>
      <c r="F27" s="35">
        <v>82</v>
      </c>
      <c r="G27" s="35">
        <v>12</v>
      </c>
      <c r="H27" s="36">
        <f>Ventes[[#This Row],[Livre de poche vendu]]*Ventes[[#This Row],[Livre de poche prix]]</f>
        <v>984</v>
      </c>
      <c r="I27" s="36">
        <v>320</v>
      </c>
      <c r="J27" s="36">
        <v>50</v>
      </c>
      <c r="K27" s="36">
        <f>Ventes[[#This Row],[Numérique vendu]]*Ventes[[#This Row],[Prix du numérique]]</f>
        <v>16000</v>
      </c>
      <c r="L27" s="36">
        <f>Ventes[[#This Row],[Total du numérique]]+Ventes[[#This Row],[Total des livres de poche]]+Ventes[[#This Row],[Total des couvertures rigides]]</f>
        <v>18004</v>
      </c>
    </row>
    <row r="28" spans="1:12" x14ac:dyDescent="0.25">
      <c r="A28" s="39" t="s">
        <v>24</v>
      </c>
      <c r="B28" s="34" t="s">
        <v>27</v>
      </c>
      <c r="C28" s="34">
        <v>26</v>
      </c>
      <c r="D28" s="35">
        <v>51</v>
      </c>
      <c r="E28" s="35">
        <f>Ventes[[#This Row],[Couverture rigide vendu]]*Ventes[[#This Row],[Couverture rigide prix]]</f>
        <v>1326</v>
      </c>
      <c r="F28" s="35">
        <v>76</v>
      </c>
      <c r="G28" s="35">
        <v>46</v>
      </c>
      <c r="H28" s="36">
        <f>Ventes[[#This Row],[Livre de poche vendu]]*Ventes[[#This Row],[Livre de poche prix]]</f>
        <v>3496</v>
      </c>
      <c r="I28" s="36">
        <v>376</v>
      </c>
      <c r="J28" s="36">
        <v>41</v>
      </c>
      <c r="K28" s="36">
        <f>Ventes[[#This Row],[Numérique vendu]]*Ventes[[#This Row],[Prix du numérique]]</f>
        <v>15416</v>
      </c>
      <c r="L28" s="36">
        <f>Ventes[[#This Row],[Total du numérique]]+Ventes[[#This Row],[Total des livres de poche]]+Ventes[[#This Row],[Total des couvertures rigides]]</f>
        <v>20238</v>
      </c>
    </row>
    <row r="29" spans="1:12" x14ac:dyDescent="0.25">
      <c r="A29" s="39" t="s">
        <v>139</v>
      </c>
      <c r="B29" s="34" t="s">
        <v>27</v>
      </c>
      <c r="C29" s="34">
        <v>27</v>
      </c>
      <c r="D29" s="35">
        <v>52</v>
      </c>
      <c r="E29" s="35">
        <f>Ventes[[#This Row],[Couverture rigide vendu]]*Ventes[[#This Row],[Couverture rigide prix]]</f>
        <v>1404</v>
      </c>
      <c r="F29" s="35">
        <v>77</v>
      </c>
      <c r="G29" s="35">
        <v>47</v>
      </c>
      <c r="H29" s="36">
        <f>Ventes[[#This Row],[Livre de poche vendu]]*Ventes[[#This Row],[Livre de poche prix]]</f>
        <v>3619</v>
      </c>
      <c r="I29" s="36">
        <v>377</v>
      </c>
      <c r="J29" s="36">
        <v>42</v>
      </c>
      <c r="K29" s="36">
        <f>Ventes[[#This Row],[Numérique vendu]]*Ventes[[#This Row],[Prix du numérique]]</f>
        <v>15834</v>
      </c>
      <c r="L29" s="36">
        <f>Ventes[[#This Row],[Total du numérique]]+Ventes[[#This Row],[Total des livres de poche]]+Ventes[[#This Row],[Total des couvertures rigides]]</f>
        <v>20857</v>
      </c>
    </row>
    <row r="30" spans="1:12" x14ac:dyDescent="0.25">
      <c r="A30" s="39" t="s">
        <v>21</v>
      </c>
      <c r="B30" s="34" t="s">
        <v>20</v>
      </c>
      <c r="C30" s="34">
        <v>24</v>
      </c>
      <c r="D30" s="35">
        <v>46</v>
      </c>
      <c r="E30" s="35">
        <f>Ventes[[#This Row],[Couverture rigide vendu]]*Ventes[[#This Row],[Couverture rigide prix]]</f>
        <v>1104</v>
      </c>
      <c r="F30" s="35">
        <v>70</v>
      </c>
      <c r="G30" s="35">
        <v>50</v>
      </c>
      <c r="H30" s="36">
        <f>Ventes[[#This Row],[Livre de poche vendu]]*Ventes[[#This Row],[Livre de poche prix]]</f>
        <v>3500</v>
      </c>
      <c r="I30" s="36">
        <v>346</v>
      </c>
      <c r="J30" s="36">
        <v>36</v>
      </c>
      <c r="K30" s="36">
        <f>Ventes[[#This Row],[Numérique vendu]]*Ventes[[#This Row],[Prix du numérique]]</f>
        <v>12456</v>
      </c>
      <c r="L30" s="36">
        <f>Ventes[[#This Row],[Total du numérique]]+Ventes[[#This Row],[Total des livres de poche]]+Ventes[[#This Row],[Total des couvertures rigides]]</f>
        <v>17060</v>
      </c>
    </row>
  </sheetData>
  <phoneticPr fontId="10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909C5-B38B-4481-B92E-EF1309B98CCD}">
  <dimension ref="A1:E36"/>
  <sheetViews>
    <sheetView workbookViewId="0">
      <selection activeCell="B8" sqref="B8"/>
    </sheetView>
  </sheetViews>
  <sheetFormatPr baseColWidth="10" defaultRowHeight="15" x14ac:dyDescent="0.25"/>
  <cols>
    <col min="1" max="1" width="23.85546875" bestFit="1" customWidth="1"/>
    <col min="2" max="2" width="37" bestFit="1" customWidth="1"/>
    <col min="3" max="3" width="33.28515625" bestFit="1" customWidth="1"/>
    <col min="4" max="4" width="28.7109375" bestFit="1" customWidth="1"/>
    <col min="5" max="5" width="24" bestFit="1" customWidth="1"/>
  </cols>
  <sheetData>
    <row r="1" spans="1:5" ht="25.5" x14ac:dyDescent="0.35">
      <c r="A1" s="10" t="s">
        <v>67</v>
      </c>
      <c r="B1" s="10"/>
      <c r="C1" s="10"/>
      <c r="D1" s="10"/>
      <c r="E1" s="10"/>
    </row>
    <row r="2" spans="1:5" ht="18" x14ac:dyDescent="0.25">
      <c r="A2" s="9" t="s">
        <v>53</v>
      </c>
      <c r="B2" s="9"/>
      <c r="C2" s="9"/>
      <c r="D2" s="9"/>
      <c r="E2" s="9"/>
    </row>
    <row r="3" spans="1:5" x14ac:dyDescent="0.25">
      <c r="A3" s="51" t="s">
        <v>146</v>
      </c>
      <c r="B3" t="s">
        <v>148</v>
      </c>
      <c r="C3" t="s">
        <v>149</v>
      </c>
      <c r="D3" t="s">
        <v>150</v>
      </c>
      <c r="E3" t="s">
        <v>151</v>
      </c>
    </row>
    <row r="4" spans="1:5" x14ac:dyDescent="0.25">
      <c r="A4" s="52" t="s">
        <v>7</v>
      </c>
      <c r="B4" s="54">
        <v>2341.6</v>
      </c>
      <c r="C4" s="54">
        <v>5914.8</v>
      </c>
      <c r="D4" s="54">
        <v>24024</v>
      </c>
      <c r="E4" s="54">
        <v>32280.400000000001</v>
      </c>
    </row>
    <row r="5" spans="1:5" x14ac:dyDescent="0.25">
      <c r="A5" s="53" t="s">
        <v>11</v>
      </c>
      <c r="B5" s="54">
        <v>512</v>
      </c>
      <c r="C5" s="54">
        <v>1296</v>
      </c>
      <c r="D5" s="54">
        <v>5280</v>
      </c>
      <c r="E5" s="54">
        <v>7088</v>
      </c>
    </row>
    <row r="6" spans="1:5" x14ac:dyDescent="0.25">
      <c r="A6" s="53" t="s">
        <v>14</v>
      </c>
      <c r="B6" s="54">
        <v>630</v>
      </c>
      <c r="C6" s="54">
        <v>1620</v>
      </c>
      <c r="D6" s="54">
        <v>6750</v>
      </c>
      <c r="E6" s="54">
        <v>9000</v>
      </c>
    </row>
    <row r="7" spans="1:5" x14ac:dyDescent="0.25">
      <c r="A7" s="53" t="s">
        <v>8</v>
      </c>
      <c r="B7" s="54">
        <v>449.84999999999997</v>
      </c>
      <c r="C7" s="54">
        <v>1124.55</v>
      </c>
      <c r="D7" s="54">
        <v>4497.75</v>
      </c>
      <c r="E7" s="54">
        <v>6072.1500000000005</v>
      </c>
    </row>
    <row r="8" spans="1:5" x14ac:dyDescent="0.25">
      <c r="A8" s="53" t="s">
        <v>75</v>
      </c>
      <c r="B8" s="54">
        <v>749.75</v>
      </c>
      <c r="C8" s="54">
        <v>1874.2499999999998</v>
      </c>
      <c r="D8" s="54">
        <v>7496.2499999999991</v>
      </c>
      <c r="E8" s="54">
        <v>10120.249999999998</v>
      </c>
    </row>
    <row r="9" spans="1:5" x14ac:dyDescent="0.25">
      <c r="A9" s="52" t="s">
        <v>125</v>
      </c>
      <c r="B9" s="54">
        <v>1919.3599999999997</v>
      </c>
      <c r="C9" s="54">
        <v>4798.08</v>
      </c>
      <c r="D9" s="54">
        <v>19190.400000000001</v>
      </c>
      <c r="E9" s="54">
        <v>25907.839999999997</v>
      </c>
    </row>
    <row r="10" spans="1:5" x14ac:dyDescent="0.25">
      <c r="A10" s="53" t="s">
        <v>97</v>
      </c>
      <c r="B10" s="54">
        <v>1049.6499999999999</v>
      </c>
      <c r="C10" s="54">
        <v>2623.95</v>
      </c>
      <c r="D10" s="54">
        <v>10494.75</v>
      </c>
      <c r="E10" s="54">
        <v>14168.35</v>
      </c>
    </row>
    <row r="11" spans="1:5" x14ac:dyDescent="0.25">
      <c r="A11" s="53" t="s">
        <v>96</v>
      </c>
      <c r="B11" s="54">
        <v>869.70999999999992</v>
      </c>
      <c r="C11" s="54">
        <v>2174.1299999999997</v>
      </c>
      <c r="D11" s="54">
        <v>8695.65</v>
      </c>
      <c r="E11" s="54">
        <v>11739.489999999998</v>
      </c>
    </row>
    <row r="12" spans="1:5" x14ac:dyDescent="0.25">
      <c r="A12" s="52" t="s">
        <v>134</v>
      </c>
      <c r="B12" s="54">
        <v>1709.4299999999998</v>
      </c>
      <c r="C12" s="54">
        <v>4273.29</v>
      </c>
      <c r="D12" s="54">
        <v>17091.45</v>
      </c>
      <c r="E12" s="54">
        <v>23074.17</v>
      </c>
    </row>
    <row r="13" spans="1:5" x14ac:dyDescent="0.25">
      <c r="A13" s="53" t="s">
        <v>106</v>
      </c>
      <c r="B13" s="54">
        <v>809.7299999999999</v>
      </c>
      <c r="C13" s="54">
        <v>2024.1899999999998</v>
      </c>
      <c r="D13" s="54">
        <v>8095.95</v>
      </c>
      <c r="E13" s="54">
        <v>10929.869999999999</v>
      </c>
    </row>
    <row r="14" spans="1:5" x14ac:dyDescent="0.25">
      <c r="A14" s="53" t="s">
        <v>108</v>
      </c>
      <c r="B14" s="54">
        <v>899.69999999999993</v>
      </c>
      <c r="C14" s="54">
        <v>2249.1</v>
      </c>
      <c r="D14" s="54">
        <v>8995.5</v>
      </c>
      <c r="E14" s="54">
        <v>12144.300000000001</v>
      </c>
    </row>
    <row r="15" spans="1:5" x14ac:dyDescent="0.25">
      <c r="A15" s="52" t="s">
        <v>128</v>
      </c>
      <c r="B15" s="54">
        <v>1199.3999999999999</v>
      </c>
      <c r="C15" s="54">
        <v>2698.2</v>
      </c>
      <c r="D15" s="54">
        <v>8991</v>
      </c>
      <c r="E15" s="54">
        <v>12888.599999999999</v>
      </c>
    </row>
    <row r="16" spans="1:5" x14ac:dyDescent="0.25">
      <c r="A16" s="53" t="s">
        <v>99</v>
      </c>
      <c r="B16" s="54">
        <v>299.84999999999997</v>
      </c>
      <c r="C16" s="54">
        <v>674.55</v>
      </c>
      <c r="D16" s="54">
        <v>2247.75</v>
      </c>
      <c r="E16" s="54">
        <v>3222.15</v>
      </c>
    </row>
    <row r="17" spans="1:5" x14ac:dyDescent="0.25">
      <c r="A17" s="53" t="s">
        <v>102</v>
      </c>
      <c r="B17" s="54">
        <v>499.74999999999994</v>
      </c>
      <c r="C17" s="54">
        <v>1124.25</v>
      </c>
      <c r="D17" s="54">
        <v>3746.25</v>
      </c>
      <c r="E17" s="54">
        <v>5370.25</v>
      </c>
    </row>
    <row r="18" spans="1:5" x14ac:dyDescent="0.25">
      <c r="A18" s="53" t="s">
        <v>100</v>
      </c>
      <c r="B18" s="54">
        <v>399.79999999999995</v>
      </c>
      <c r="C18" s="54">
        <v>899.4</v>
      </c>
      <c r="D18" s="54">
        <v>2997</v>
      </c>
      <c r="E18" s="54">
        <v>4296.2</v>
      </c>
    </row>
    <row r="19" spans="1:5" x14ac:dyDescent="0.25">
      <c r="A19" s="52" t="s">
        <v>20</v>
      </c>
      <c r="B19" s="54">
        <v>3019</v>
      </c>
      <c r="C19" s="54">
        <v>8570</v>
      </c>
      <c r="D19" s="54">
        <v>34431</v>
      </c>
      <c r="E19" s="54">
        <v>46020</v>
      </c>
    </row>
    <row r="20" spans="1:5" x14ac:dyDescent="0.25">
      <c r="A20" s="53" t="s">
        <v>21</v>
      </c>
      <c r="B20" s="54">
        <v>2139</v>
      </c>
      <c r="C20" s="54">
        <v>6260</v>
      </c>
      <c r="D20" s="54">
        <v>24531</v>
      </c>
      <c r="E20" s="54">
        <v>32930</v>
      </c>
    </row>
    <row r="21" spans="1:5" x14ac:dyDescent="0.25">
      <c r="A21" s="53" t="s">
        <v>17</v>
      </c>
      <c r="B21" s="54">
        <v>880</v>
      </c>
      <c r="C21" s="54">
        <v>2310</v>
      </c>
      <c r="D21" s="54">
        <v>9900</v>
      </c>
      <c r="E21" s="54">
        <v>13090</v>
      </c>
    </row>
    <row r="22" spans="1:5" x14ac:dyDescent="0.25">
      <c r="A22" s="52" t="s">
        <v>27</v>
      </c>
      <c r="B22" s="54">
        <v>3980</v>
      </c>
      <c r="C22" s="54">
        <v>10490</v>
      </c>
      <c r="D22" s="54">
        <v>46250</v>
      </c>
      <c r="E22" s="54">
        <v>60720</v>
      </c>
    </row>
    <row r="23" spans="1:5" x14ac:dyDescent="0.25">
      <c r="A23" s="53" t="s">
        <v>24</v>
      </c>
      <c r="B23" s="54">
        <v>2576</v>
      </c>
      <c r="C23" s="54">
        <v>6871</v>
      </c>
      <c r="D23" s="54">
        <v>30416</v>
      </c>
      <c r="E23" s="54">
        <v>39863</v>
      </c>
    </row>
    <row r="24" spans="1:5" x14ac:dyDescent="0.25">
      <c r="A24" s="53" t="s">
        <v>139</v>
      </c>
      <c r="B24" s="54">
        <v>1404</v>
      </c>
      <c r="C24" s="54">
        <v>3619</v>
      </c>
      <c r="D24" s="54">
        <v>15834</v>
      </c>
      <c r="E24" s="54">
        <v>20857</v>
      </c>
    </row>
    <row r="25" spans="1:5" x14ac:dyDescent="0.25">
      <c r="A25" s="52" t="s">
        <v>127</v>
      </c>
      <c r="B25" s="54">
        <v>7076.119999999999</v>
      </c>
      <c r="C25" s="54">
        <v>13396.619999999999</v>
      </c>
      <c r="D25" s="54">
        <v>57240.759999999995</v>
      </c>
      <c r="E25" s="54">
        <v>77713.5</v>
      </c>
    </row>
    <row r="26" spans="1:5" x14ac:dyDescent="0.25">
      <c r="A26" s="53" t="s">
        <v>131</v>
      </c>
      <c r="B26" s="54">
        <v>419</v>
      </c>
      <c r="C26" s="54">
        <v>957</v>
      </c>
      <c r="D26" s="54">
        <v>3285</v>
      </c>
      <c r="E26" s="54">
        <v>4661</v>
      </c>
    </row>
    <row r="27" spans="1:5" x14ac:dyDescent="0.25">
      <c r="A27" s="53" t="s">
        <v>135</v>
      </c>
      <c r="B27" s="54">
        <v>750</v>
      </c>
      <c r="C27" s="54">
        <v>1259.26</v>
      </c>
      <c r="D27" s="54">
        <v>3161.66</v>
      </c>
      <c r="E27" s="54">
        <v>5170.92</v>
      </c>
    </row>
    <row r="28" spans="1:5" x14ac:dyDescent="0.25">
      <c r="A28" s="53" t="s">
        <v>129</v>
      </c>
      <c r="B28" s="54">
        <v>593.82000000000005</v>
      </c>
      <c r="C28" s="54">
        <v>1511.4599999999998</v>
      </c>
      <c r="D28" s="54">
        <v>6207.2999999999993</v>
      </c>
      <c r="E28" s="54">
        <v>8312.58</v>
      </c>
    </row>
    <row r="29" spans="1:5" x14ac:dyDescent="0.25">
      <c r="A29" s="53" t="s">
        <v>136</v>
      </c>
      <c r="B29" s="54">
        <v>816</v>
      </c>
      <c r="C29" s="54">
        <v>1280</v>
      </c>
      <c r="D29" s="54">
        <v>4500</v>
      </c>
      <c r="E29" s="54">
        <v>6596</v>
      </c>
    </row>
    <row r="30" spans="1:5" x14ac:dyDescent="0.25">
      <c r="A30" s="53" t="s">
        <v>137</v>
      </c>
      <c r="B30" s="54">
        <v>918</v>
      </c>
      <c r="C30" s="54">
        <v>1377</v>
      </c>
      <c r="D30" s="54">
        <v>3696.3</v>
      </c>
      <c r="E30" s="54">
        <v>5991.3</v>
      </c>
    </row>
    <row r="31" spans="1:5" x14ac:dyDescent="0.25">
      <c r="A31" s="53" t="s">
        <v>138</v>
      </c>
      <c r="B31" s="54">
        <v>1020</v>
      </c>
      <c r="C31" s="54">
        <v>984</v>
      </c>
      <c r="D31" s="54">
        <v>16000</v>
      </c>
      <c r="E31" s="54">
        <v>18004</v>
      </c>
    </row>
    <row r="32" spans="1:5" x14ac:dyDescent="0.25">
      <c r="A32" s="53" t="s">
        <v>132</v>
      </c>
      <c r="B32" s="54">
        <v>649.75</v>
      </c>
      <c r="C32" s="54">
        <v>1574.2499999999998</v>
      </c>
      <c r="D32" s="54">
        <v>5996.25</v>
      </c>
      <c r="E32" s="54">
        <v>8220.25</v>
      </c>
    </row>
    <row r="33" spans="1:5" x14ac:dyDescent="0.25">
      <c r="A33" s="53" t="s">
        <v>133</v>
      </c>
      <c r="B33" s="54">
        <v>649.74</v>
      </c>
      <c r="C33" s="54">
        <v>1559.2199999999998</v>
      </c>
      <c r="D33" s="54">
        <v>4347.1000000000004</v>
      </c>
      <c r="E33" s="54">
        <v>6556.0599999999995</v>
      </c>
    </row>
    <row r="34" spans="1:5" x14ac:dyDescent="0.25">
      <c r="A34" s="53" t="s">
        <v>126</v>
      </c>
      <c r="B34" s="54">
        <v>880</v>
      </c>
      <c r="C34" s="54">
        <v>2040</v>
      </c>
      <c r="D34" s="54">
        <v>7200</v>
      </c>
      <c r="E34" s="54">
        <v>10120</v>
      </c>
    </row>
    <row r="35" spans="1:5" x14ac:dyDescent="0.25">
      <c r="A35" s="53" t="s">
        <v>130</v>
      </c>
      <c r="B35" s="54">
        <v>379.80999999999995</v>
      </c>
      <c r="C35" s="54">
        <v>854.43000000000006</v>
      </c>
      <c r="D35" s="54">
        <v>2847.15</v>
      </c>
      <c r="E35" s="54">
        <v>4081.39</v>
      </c>
    </row>
    <row r="36" spans="1:5" x14ac:dyDescent="0.25">
      <c r="A36" s="52" t="s">
        <v>147</v>
      </c>
      <c r="B36" s="54">
        <v>21244.910000000003</v>
      </c>
      <c r="C36" s="54">
        <v>50140.990000000005</v>
      </c>
      <c r="D36" s="54">
        <v>207218.61</v>
      </c>
      <c r="E36" s="54">
        <v>278604.51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293CE-2834-450E-8553-0F8DD8B0F44D}">
  <dimension ref="A1:G24"/>
  <sheetViews>
    <sheetView workbookViewId="0">
      <selection activeCell="D15" sqref="D15"/>
    </sheetView>
  </sheetViews>
  <sheetFormatPr baseColWidth="10" defaultColWidth="9.140625" defaultRowHeight="15" x14ac:dyDescent="0.25"/>
  <cols>
    <col min="1" max="1" width="13.28515625" customWidth="1"/>
    <col min="2" max="2" width="11.42578125" bestFit="1" customWidth="1"/>
    <col min="3" max="3" width="16.7109375" customWidth="1"/>
    <col min="4" max="4" width="17.85546875" customWidth="1"/>
    <col min="5" max="5" width="23" customWidth="1"/>
    <col min="6" max="6" width="14.7109375" bestFit="1" customWidth="1"/>
    <col min="7" max="7" width="14.7109375" customWidth="1"/>
  </cols>
  <sheetData>
    <row r="1" spans="1:7" ht="25.5" x14ac:dyDescent="0.35">
      <c r="A1" s="10" t="s">
        <v>67</v>
      </c>
      <c r="B1" s="10"/>
      <c r="C1" s="10"/>
      <c r="D1" s="10"/>
      <c r="E1" s="10"/>
      <c r="F1" s="10"/>
      <c r="G1" s="10"/>
    </row>
    <row r="2" spans="1:7" ht="15.75" customHeight="1" x14ac:dyDescent="0.25">
      <c r="A2" s="9" t="s">
        <v>88</v>
      </c>
      <c r="B2" s="9"/>
      <c r="C2" s="9"/>
      <c r="D2" s="9"/>
      <c r="E2" s="9"/>
      <c r="F2" s="9"/>
      <c r="G2" s="9"/>
    </row>
    <row r="3" spans="1:7" ht="19.5" customHeight="1" thickBot="1" x14ac:dyDescent="0.3">
      <c r="A3" s="27" t="s">
        <v>69</v>
      </c>
      <c r="B3" s="28" t="s">
        <v>70</v>
      </c>
      <c r="C3" s="28" t="s">
        <v>71</v>
      </c>
      <c r="D3" s="28" t="s">
        <v>89</v>
      </c>
      <c r="E3" s="28" t="s">
        <v>112</v>
      </c>
      <c r="F3" s="28" t="s">
        <v>72</v>
      </c>
      <c r="G3" s="28" t="s">
        <v>73</v>
      </c>
    </row>
    <row r="4" spans="1:7" ht="18" thickTop="1" x14ac:dyDescent="0.3">
      <c r="A4" s="12" t="s">
        <v>75</v>
      </c>
      <c r="B4" s="13" t="s">
        <v>90</v>
      </c>
      <c r="C4" s="14">
        <v>10120.25</v>
      </c>
      <c r="D4" s="15">
        <v>0.1</v>
      </c>
      <c r="E4" s="16">
        <v>5000</v>
      </c>
      <c r="F4" s="16">
        <f t="shared" ref="F4:F24" si="0">(C4*D4)-E4</f>
        <v>-3987.9749999999999</v>
      </c>
      <c r="G4" s="16">
        <f>Tableau4[[#This Row],[Avance à l auteur]]+Tableau4[[#This Row],[Droit dû]]</f>
        <v>1012.0250000000001</v>
      </c>
    </row>
    <row r="5" spans="1:7" ht="17.25" x14ac:dyDescent="0.3">
      <c r="A5" s="17" t="s">
        <v>8</v>
      </c>
      <c r="B5" s="18" t="s">
        <v>91</v>
      </c>
      <c r="C5" s="19">
        <v>6072.15</v>
      </c>
      <c r="D5" s="20">
        <v>0.1</v>
      </c>
      <c r="E5" s="21">
        <v>5000</v>
      </c>
      <c r="F5" s="21">
        <f t="shared" si="0"/>
        <v>-4392.7849999999999</v>
      </c>
      <c r="G5" s="21">
        <f>Tableau4[[#This Row],[Avance à l auteur]]+Tableau4[[#This Row],[Droit dû]]</f>
        <v>607.21500000000015</v>
      </c>
    </row>
    <row r="6" spans="1:7" ht="17.25" x14ac:dyDescent="0.3">
      <c r="A6" s="22" t="s">
        <v>11</v>
      </c>
      <c r="B6" s="23" t="s">
        <v>92</v>
      </c>
      <c r="C6" s="24">
        <v>7088</v>
      </c>
      <c r="D6" s="25">
        <v>0.24</v>
      </c>
      <c r="E6" s="26">
        <v>10125</v>
      </c>
      <c r="F6" s="26">
        <f t="shared" si="0"/>
        <v>-8423.880000000001</v>
      </c>
      <c r="G6" s="26">
        <f>Tableau4[[#This Row],[Avance à l auteur]]+Tableau4[[#This Row],[Droit dû]]</f>
        <v>1701.119999999999</v>
      </c>
    </row>
    <row r="7" spans="1:7" ht="17.25" x14ac:dyDescent="0.3">
      <c r="A7" s="17" t="s">
        <v>14</v>
      </c>
      <c r="B7" s="18" t="s">
        <v>93</v>
      </c>
      <c r="C7" s="19">
        <v>9000</v>
      </c>
      <c r="D7" s="20">
        <v>0.1</v>
      </c>
      <c r="E7" s="21">
        <v>5000</v>
      </c>
      <c r="F7" s="21">
        <f t="shared" si="0"/>
        <v>-4100</v>
      </c>
      <c r="G7" s="21">
        <f>Tableau4[[#This Row],[Avance à l auteur]]+Tableau4[[#This Row],[Droit dû]]</f>
        <v>900</v>
      </c>
    </row>
    <row r="8" spans="1:7" ht="17.25" x14ac:dyDescent="0.3">
      <c r="A8" s="22" t="s">
        <v>17</v>
      </c>
      <c r="B8" s="23" t="s">
        <v>74</v>
      </c>
      <c r="C8" s="24">
        <v>13090</v>
      </c>
      <c r="D8" s="25">
        <v>0.12</v>
      </c>
      <c r="E8" s="26">
        <v>0</v>
      </c>
      <c r="F8" s="26">
        <f t="shared" si="0"/>
        <v>1570.8</v>
      </c>
      <c r="G8" s="26">
        <f>Tableau4[[#This Row],[Avance à l auteur]]+Tableau4[[#This Row],[Droit dû]]</f>
        <v>1570.8</v>
      </c>
    </row>
    <row r="9" spans="1:7" ht="17.25" x14ac:dyDescent="0.3">
      <c r="A9" s="17" t="s">
        <v>21</v>
      </c>
      <c r="B9" s="18" t="s">
        <v>94</v>
      </c>
      <c r="C9" s="19">
        <v>15870</v>
      </c>
      <c r="D9" s="20">
        <v>0.24</v>
      </c>
      <c r="E9" s="21">
        <v>15000</v>
      </c>
      <c r="F9" s="21">
        <f t="shared" si="0"/>
        <v>-11191.2</v>
      </c>
      <c r="G9" s="21">
        <f>Tableau4[[#This Row],[Avance à l auteur]]+Tableau4[[#This Row],[Droit dû]]</f>
        <v>3808.7999999999993</v>
      </c>
    </row>
    <row r="10" spans="1:7" ht="17.25" x14ac:dyDescent="0.3">
      <c r="A10" s="22" t="s">
        <v>24</v>
      </c>
      <c r="B10" s="23" t="s">
        <v>95</v>
      </c>
      <c r="C10" s="24">
        <v>19625</v>
      </c>
      <c r="D10" s="25">
        <v>0.16</v>
      </c>
      <c r="E10" s="26">
        <v>0</v>
      </c>
      <c r="F10" s="26">
        <f t="shared" si="0"/>
        <v>3140</v>
      </c>
      <c r="G10" s="26">
        <f>Tableau4[[#This Row],[Avance à l auteur]]+Tableau4[[#This Row],[Droit dû]]</f>
        <v>3140</v>
      </c>
    </row>
    <row r="11" spans="1:7" ht="17.25" x14ac:dyDescent="0.3">
      <c r="A11" s="17" t="s">
        <v>96</v>
      </c>
      <c r="B11" s="18" t="s">
        <v>76</v>
      </c>
      <c r="C11" s="19">
        <v>11739.49</v>
      </c>
      <c r="D11" s="20">
        <v>0.16</v>
      </c>
      <c r="E11" s="21">
        <v>7000</v>
      </c>
      <c r="F11" s="21">
        <f t="shared" si="0"/>
        <v>-5121.6815999999999</v>
      </c>
      <c r="G11" s="21">
        <f>Tableau4[[#This Row],[Avance à l auteur]]+Tableau4[[#This Row],[Droit dû]]</f>
        <v>1878.3184000000001</v>
      </c>
    </row>
    <row r="12" spans="1:7" ht="17.25" x14ac:dyDescent="0.3">
      <c r="A12" s="22" t="s">
        <v>97</v>
      </c>
      <c r="B12" s="23" t="s">
        <v>77</v>
      </c>
      <c r="C12" s="24">
        <v>14168.35</v>
      </c>
      <c r="D12" s="25">
        <v>0.1</v>
      </c>
      <c r="E12" s="26">
        <v>8000</v>
      </c>
      <c r="F12" s="26">
        <f t="shared" si="0"/>
        <v>-6583.165</v>
      </c>
      <c r="G12" s="26">
        <f>Tableau4[[#This Row],[Avance à l auteur]]+Tableau4[[#This Row],[Droit dû]]</f>
        <v>1416.835</v>
      </c>
    </row>
    <row r="13" spans="1:7" ht="17.25" x14ac:dyDescent="0.3">
      <c r="A13" s="17" t="s">
        <v>98</v>
      </c>
      <c r="B13" s="18" t="s">
        <v>78</v>
      </c>
      <c r="C13" s="19">
        <v>10120</v>
      </c>
      <c r="D13" s="20">
        <v>0.12</v>
      </c>
      <c r="E13" s="21">
        <v>0</v>
      </c>
      <c r="F13" s="21">
        <f t="shared" si="0"/>
        <v>1214.3999999999999</v>
      </c>
      <c r="G13" s="21">
        <f>Tableau4[[#This Row],[Avance à l auteur]]+Tableau4[[#This Row],[Droit dû]]</f>
        <v>1214.3999999999999</v>
      </c>
    </row>
    <row r="14" spans="1:7" ht="17.25" x14ac:dyDescent="0.3">
      <c r="A14" s="22" t="s">
        <v>99</v>
      </c>
      <c r="B14" s="23" t="s">
        <v>79</v>
      </c>
      <c r="C14" s="24">
        <v>3222.15</v>
      </c>
      <c r="D14" s="25">
        <v>0.1</v>
      </c>
      <c r="E14" s="26">
        <v>7000</v>
      </c>
      <c r="F14" s="26">
        <f t="shared" si="0"/>
        <v>-6677.7849999999999</v>
      </c>
      <c r="G14" s="26">
        <f>Tableau4[[#This Row],[Avance à l auteur]]+Tableau4[[#This Row],[Droit dû]]</f>
        <v>322.21500000000015</v>
      </c>
    </row>
    <row r="15" spans="1:7" ht="17.25" x14ac:dyDescent="0.3">
      <c r="A15" s="17" t="s">
        <v>100</v>
      </c>
      <c r="B15" s="18" t="s">
        <v>101</v>
      </c>
      <c r="C15" s="19">
        <v>4296.2</v>
      </c>
      <c r="D15" s="20">
        <v>0.12</v>
      </c>
      <c r="E15" s="21">
        <v>2275</v>
      </c>
      <c r="F15" s="21">
        <f t="shared" si="0"/>
        <v>-1759.4560000000001</v>
      </c>
      <c r="G15" s="21">
        <f>Tableau4[[#This Row],[Avance à l auteur]]+Tableau4[[#This Row],[Droit dû]]</f>
        <v>515.54399999999987</v>
      </c>
    </row>
    <row r="16" spans="1:7" ht="17.25" x14ac:dyDescent="0.3">
      <c r="A16" s="22" t="s">
        <v>102</v>
      </c>
      <c r="B16" s="23" t="s">
        <v>80</v>
      </c>
      <c r="C16" s="24">
        <v>5370.25</v>
      </c>
      <c r="D16" s="25">
        <v>0.1</v>
      </c>
      <c r="E16" s="26">
        <v>6000</v>
      </c>
      <c r="F16" s="26">
        <f t="shared" si="0"/>
        <v>-5462.9750000000004</v>
      </c>
      <c r="G16" s="26">
        <f>Tableau4[[#This Row],[Avance à l auteur]]+Tableau4[[#This Row],[Droit dû]]</f>
        <v>537.02499999999964</v>
      </c>
    </row>
    <row r="17" spans="1:7" ht="17.25" x14ac:dyDescent="0.3">
      <c r="A17" s="17" t="s">
        <v>81</v>
      </c>
      <c r="B17" s="18" t="s">
        <v>103</v>
      </c>
      <c r="C17" s="19">
        <v>8312.58</v>
      </c>
      <c r="D17" s="20">
        <v>0.09</v>
      </c>
      <c r="E17" s="21">
        <v>2000</v>
      </c>
      <c r="F17" s="21">
        <f t="shared" si="0"/>
        <v>-1251.8678</v>
      </c>
      <c r="G17" s="21">
        <f>Tableau4[[#This Row],[Avance à l auteur]]+Tableau4[[#This Row],[Droit dû]]</f>
        <v>748.13220000000001</v>
      </c>
    </row>
    <row r="18" spans="1:7" ht="17.25" x14ac:dyDescent="0.3">
      <c r="A18" s="22" t="s">
        <v>82</v>
      </c>
      <c r="B18" s="23" t="s">
        <v>83</v>
      </c>
      <c r="C18" s="24">
        <v>4081.39</v>
      </c>
      <c r="D18" s="25">
        <v>0.08</v>
      </c>
      <c r="E18" s="26">
        <v>4000</v>
      </c>
      <c r="F18" s="26">
        <f t="shared" si="0"/>
        <v>-3673.4888000000001</v>
      </c>
      <c r="G18" s="26">
        <f>Tableau4[[#This Row],[Avance à l auteur]]+Tableau4[[#This Row],[Droit dû]]</f>
        <v>326.51119999999992</v>
      </c>
    </row>
    <row r="19" spans="1:7" ht="17.25" x14ac:dyDescent="0.3">
      <c r="A19" s="17" t="s">
        <v>84</v>
      </c>
      <c r="B19" s="18" t="s">
        <v>104</v>
      </c>
      <c r="C19" s="19">
        <v>4661</v>
      </c>
      <c r="D19" s="20">
        <v>0.1</v>
      </c>
      <c r="E19" s="21">
        <v>7000</v>
      </c>
      <c r="F19" s="21">
        <f t="shared" si="0"/>
        <v>-6533.9</v>
      </c>
      <c r="G19" s="21">
        <f>Tableau4[[#This Row],[Avance à l auteur]]+Tableau4[[#This Row],[Droit dû]]</f>
        <v>466.10000000000036</v>
      </c>
    </row>
    <row r="20" spans="1:7" ht="17.25" x14ac:dyDescent="0.3">
      <c r="A20" s="22" t="s">
        <v>85</v>
      </c>
      <c r="B20" s="23" t="s">
        <v>86</v>
      </c>
      <c r="C20" s="24">
        <v>8220.25</v>
      </c>
      <c r="D20" s="25">
        <v>0.14000000000000001</v>
      </c>
      <c r="E20" s="26">
        <v>4000</v>
      </c>
      <c r="F20" s="26">
        <f t="shared" si="0"/>
        <v>-2849.165</v>
      </c>
      <c r="G20" s="26">
        <f>Tableau4[[#This Row],[Avance à l auteur]]+Tableau4[[#This Row],[Droit dû]]</f>
        <v>1150.835</v>
      </c>
    </row>
    <row r="21" spans="1:7" ht="17.25" x14ac:dyDescent="0.3">
      <c r="A21" s="17" t="s">
        <v>87</v>
      </c>
      <c r="B21" s="18" t="s">
        <v>105</v>
      </c>
      <c r="C21" s="19">
        <v>8055.06</v>
      </c>
      <c r="D21" s="20">
        <v>0.1</v>
      </c>
      <c r="E21" s="21">
        <v>8000</v>
      </c>
      <c r="F21" s="21">
        <f t="shared" si="0"/>
        <v>-7194.4939999999997</v>
      </c>
      <c r="G21" s="21">
        <f>Tableau4[[#This Row],[Avance à l auteur]]+Tableau4[[#This Row],[Droit dû]]</f>
        <v>805.50600000000031</v>
      </c>
    </row>
    <row r="22" spans="1:7" ht="17.25" x14ac:dyDescent="0.3">
      <c r="A22" s="22" t="s">
        <v>106</v>
      </c>
      <c r="B22" s="23" t="s">
        <v>107</v>
      </c>
      <c r="C22" s="24">
        <v>10929.87</v>
      </c>
      <c r="D22" s="25">
        <v>0.11</v>
      </c>
      <c r="E22" s="26">
        <v>0</v>
      </c>
      <c r="F22" s="26">
        <f t="shared" si="0"/>
        <v>1202.2857000000001</v>
      </c>
      <c r="G22" s="26">
        <f>Tableau4[[#This Row],[Avance à l auteur]]+Tableau4[[#This Row],[Droit dû]]</f>
        <v>1202.2857000000001</v>
      </c>
    </row>
    <row r="23" spans="1:7" ht="17.25" x14ac:dyDescent="0.3">
      <c r="A23" s="17" t="s">
        <v>108</v>
      </c>
      <c r="B23" s="18" t="s">
        <v>109</v>
      </c>
      <c r="C23" s="19">
        <v>12144.3</v>
      </c>
      <c r="D23" s="20">
        <v>0.11</v>
      </c>
      <c r="E23" s="21">
        <v>0</v>
      </c>
      <c r="F23" s="21">
        <f t="shared" si="0"/>
        <v>1335.8729999999998</v>
      </c>
      <c r="G23" s="21">
        <f>Tableau4[[#This Row],[Avance à l auteur]]+Tableau4[[#This Row],[Droit dû]]</f>
        <v>1335.8729999999998</v>
      </c>
    </row>
    <row r="24" spans="1:7" ht="17.25" x14ac:dyDescent="0.3">
      <c r="A24" s="22" t="s">
        <v>110</v>
      </c>
      <c r="B24" s="23" t="s">
        <v>111</v>
      </c>
      <c r="C24" s="24">
        <v>12970.25</v>
      </c>
      <c r="D24" s="25">
        <v>0.1</v>
      </c>
      <c r="E24" s="26">
        <v>0</v>
      </c>
      <c r="F24" s="26">
        <f t="shared" si="0"/>
        <v>1297.0250000000001</v>
      </c>
      <c r="G24" s="26">
        <f>Tableau4[[#This Row],[Avance à l auteur]]+Tableau4[[#This Row],[Droit dû]]</f>
        <v>1297.0250000000001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BC14-0384-4F99-95D6-38A963BA51AB}">
  <dimension ref="A2:C24"/>
  <sheetViews>
    <sheetView tabSelected="1" workbookViewId="0">
      <selection activeCell="C27" sqref="C27"/>
    </sheetView>
  </sheetViews>
  <sheetFormatPr baseColWidth="10" defaultRowHeight="15" x14ac:dyDescent="0.25"/>
  <cols>
    <col min="1" max="1" width="25.28515625" customWidth="1"/>
    <col min="2" max="2" width="18.5703125" customWidth="1"/>
    <col min="3" max="3" width="18.7109375" customWidth="1"/>
  </cols>
  <sheetData>
    <row r="2" spans="1:3" x14ac:dyDescent="0.25">
      <c r="A2" s="51" t="s">
        <v>146</v>
      </c>
      <c r="B2" t="s">
        <v>217</v>
      </c>
      <c r="C2" t="s">
        <v>218</v>
      </c>
    </row>
    <row r="3" spans="1:3" x14ac:dyDescent="0.25">
      <c r="A3" s="52" t="s">
        <v>104</v>
      </c>
      <c r="B3" s="56">
        <v>4661</v>
      </c>
      <c r="C3" s="56">
        <v>7000</v>
      </c>
    </row>
    <row r="4" spans="1:3" x14ac:dyDescent="0.25">
      <c r="A4" s="52" t="s">
        <v>80</v>
      </c>
      <c r="B4" s="56">
        <v>5370.25</v>
      </c>
      <c r="C4" s="56">
        <v>6000</v>
      </c>
    </row>
    <row r="5" spans="1:3" x14ac:dyDescent="0.25">
      <c r="A5" s="52" t="s">
        <v>103</v>
      </c>
      <c r="B5" s="56">
        <v>8312.58</v>
      </c>
      <c r="C5" s="56">
        <v>2000</v>
      </c>
    </row>
    <row r="6" spans="1:3" x14ac:dyDescent="0.25">
      <c r="A6" s="52" t="s">
        <v>83</v>
      </c>
      <c r="B6" s="56">
        <v>4081.39</v>
      </c>
      <c r="C6" s="56">
        <v>4000</v>
      </c>
    </row>
    <row r="7" spans="1:3" x14ac:dyDescent="0.25">
      <c r="A7" s="52" t="s">
        <v>79</v>
      </c>
      <c r="B7" s="56">
        <v>3222.15</v>
      </c>
      <c r="C7" s="56">
        <v>7000</v>
      </c>
    </row>
    <row r="8" spans="1:3" x14ac:dyDescent="0.25">
      <c r="A8" s="52" t="s">
        <v>101</v>
      </c>
      <c r="B8" s="56">
        <v>4296.2</v>
      </c>
      <c r="C8" s="56">
        <v>2275</v>
      </c>
    </row>
    <row r="9" spans="1:3" x14ac:dyDescent="0.25">
      <c r="A9" s="52" t="s">
        <v>78</v>
      </c>
      <c r="B9" s="56">
        <v>10120</v>
      </c>
      <c r="C9" s="56">
        <v>0</v>
      </c>
    </row>
    <row r="10" spans="1:3" x14ac:dyDescent="0.25">
      <c r="A10" s="52" t="s">
        <v>76</v>
      </c>
      <c r="B10" s="56">
        <v>11739.49</v>
      </c>
      <c r="C10" s="56">
        <v>7000</v>
      </c>
    </row>
    <row r="11" spans="1:3" x14ac:dyDescent="0.25">
      <c r="A11" s="52" t="s">
        <v>77</v>
      </c>
      <c r="B11" s="56">
        <v>14168.35</v>
      </c>
      <c r="C11" s="56">
        <v>8000</v>
      </c>
    </row>
    <row r="12" spans="1:3" x14ac:dyDescent="0.25">
      <c r="A12" s="52" t="s">
        <v>86</v>
      </c>
      <c r="B12" s="56">
        <v>8220.25</v>
      </c>
      <c r="C12" s="56">
        <v>4000</v>
      </c>
    </row>
    <row r="13" spans="1:3" x14ac:dyDescent="0.25">
      <c r="A13" s="52" t="s">
        <v>95</v>
      </c>
      <c r="B13" s="56">
        <v>19625</v>
      </c>
      <c r="C13" s="56">
        <v>0</v>
      </c>
    </row>
    <row r="14" spans="1:3" x14ac:dyDescent="0.25">
      <c r="A14" s="52" t="s">
        <v>105</v>
      </c>
      <c r="B14" s="56">
        <v>8055.06</v>
      </c>
      <c r="C14" s="56">
        <v>8000</v>
      </c>
    </row>
    <row r="15" spans="1:3" x14ac:dyDescent="0.25">
      <c r="A15" s="52" t="s">
        <v>111</v>
      </c>
      <c r="B15" s="56">
        <v>12970.25</v>
      </c>
      <c r="C15" s="56">
        <v>0</v>
      </c>
    </row>
    <row r="16" spans="1:3" x14ac:dyDescent="0.25">
      <c r="A16" s="52" t="s">
        <v>107</v>
      </c>
      <c r="B16" s="56">
        <v>10929.87</v>
      </c>
      <c r="C16" s="56">
        <v>0</v>
      </c>
    </row>
    <row r="17" spans="1:3" x14ac:dyDescent="0.25">
      <c r="A17" s="52" t="s">
        <v>109</v>
      </c>
      <c r="B17" s="56">
        <v>12144.3</v>
      </c>
      <c r="C17" s="56">
        <v>0</v>
      </c>
    </row>
    <row r="18" spans="1:3" x14ac:dyDescent="0.25">
      <c r="A18" s="52" t="s">
        <v>94</v>
      </c>
      <c r="B18" s="56">
        <v>15870</v>
      </c>
      <c r="C18" s="56">
        <v>15000</v>
      </c>
    </row>
    <row r="19" spans="1:3" x14ac:dyDescent="0.25">
      <c r="A19" s="52" t="s">
        <v>93</v>
      </c>
      <c r="B19" s="56">
        <v>9000</v>
      </c>
      <c r="C19" s="56">
        <v>5000</v>
      </c>
    </row>
    <row r="20" spans="1:3" x14ac:dyDescent="0.25">
      <c r="A20" s="52" t="s">
        <v>74</v>
      </c>
      <c r="B20" s="56">
        <v>13090</v>
      </c>
      <c r="C20" s="56">
        <v>0</v>
      </c>
    </row>
    <row r="21" spans="1:3" x14ac:dyDescent="0.25">
      <c r="A21" s="52" t="s">
        <v>91</v>
      </c>
      <c r="B21" s="56">
        <v>6072.15</v>
      </c>
      <c r="C21" s="56">
        <v>5000</v>
      </c>
    </row>
    <row r="22" spans="1:3" x14ac:dyDescent="0.25">
      <c r="A22" s="52" t="s">
        <v>90</v>
      </c>
      <c r="B22" s="56">
        <v>10120.25</v>
      </c>
      <c r="C22" s="56">
        <v>5000</v>
      </c>
    </row>
    <row r="23" spans="1:3" x14ac:dyDescent="0.25">
      <c r="A23" s="52" t="s">
        <v>92</v>
      </c>
      <c r="B23" s="56">
        <v>7088</v>
      </c>
      <c r="C23" s="56">
        <v>10125</v>
      </c>
    </row>
    <row r="24" spans="1:3" x14ac:dyDescent="0.25">
      <c r="A24" s="52" t="s">
        <v>147</v>
      </c>
      <c r="B24" s="56">
        <v>199156.53999999998</v>
      </c>
      <c r="C24" s="56">
        <v>95400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Nouveaux titres</vt:lpstr>
      <vt:lpstr>Auteurs</vt:lpstr>
      <vt:lpstr>Ventes</vt:lpstr>
      <vt:lpstr>Analyse des ventes</vt:lpstr>
      <vt:lpstr>Droits d’auteur </vt:lpstr>
      <vt:lpstr>Analyse des droits d’auteur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ASSEMIEN OUAKE- SETOU SERGE</dc:creator>
  <cp:keywords/>
  <dc:description/>
  <cp:lastModifiedBy>Serge ASSEMIEN</cp:lastModifiedBy>
  <cp:revision/>
  <dcterms:created xsi:type="dcterms:W3CDTF">2026-07-21T10:18:43Z</dcterms:created>
  <dcterms:modified xsi:type="dcterms:W3CDTF">2026-07-23T12:32:11Z</dcterms:modified>
  <cp:category/>
  <cp:contentStatus/>
</cp:coreProperties>
</file>
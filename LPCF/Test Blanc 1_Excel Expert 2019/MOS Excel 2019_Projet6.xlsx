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Documents\MOS EXCEL EXPERT 2019\Test Blanc 1\"/>
    </mc:Choice>
  </mc:AlternateContent>
  <xr:revisionPtr revIDLastSave="0" documentId="13_ncr:1_{25A1CC99-6860-4569-BE3A-CB6DA550ECFE}" xr6:coauthVersionLast="47" xr6:coauthVersionMax="47" xr10:uidLastSave="{00000000-0000-0000-0000-000000000000}"/>
  <bookViews>
    <workbookView xWindow="-120" yWindow="-120" windowWidth="21840" windowHeight="13140" firstSheet="3" activeTab="5" xr2:uid="{00000000-000D-0000-FFFF-FFFF00000000}"/>
  </bookViews>
  <sheets>
    <sheet name="Résumé" sheetId="14" r:id="rId1"/>
    <sheet name="2014 par région" sheetId="7" r:id="rId2"/>
    <sheet name="2015 par région" sheetId="8" r:id="rId3"/>
    <sheet name="2016 par région" sheetId="9" r:id="rId4"/>
    <sheet name="2017 par région" sheetId="10" r:id="rId5"/>
    <sheet name="2018 par région" sheetId="11" r:id="rId6"/>
    <sheet name="2019 Visiteurs" sheetId="1" r:id="rId7"/>
    <sheet name="Nuitées" sheetId="20" r:id="rId8"/>
    <sheet name="Heures des volontaires" sheetId="16" r:id="rId9"/>
    <sheet name="Analyse des volontairess" sheetId="17" r:id="rId10"/>
  </sheet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20" l="1"/>
  <c r="D10" i="20"/>
  <c r="E10" i="20"/>
  <c r="F10" i="20"/>
  <c r="G10" i="20"/>
  <c r="H10" i="20"/>
  <c r="I10" i="20"/>
  <c r="J10" i="20"/>
  <c r="K10" i="20"/>
  <c r="L10" i="20"/>
  <c r="M10" i="20"/>
  <c r="B10" i="20"/>
  <c r="N6" i="20"/>
  <c r="N7" i="20"/>
  <c r="N8" i="20"/>
  <c r="N9" i="20"/>
  <c r="N10" i="20"/>
  <c r="N5" i="20"/>
</calcChain>
</file>

<file path=xl/sharedStrings.xml><?xml version="1.0" encoding="utf-8"?>
<sst xmlns="http://schemas.openxmlformats.org/spreadsheetml/2006/main" count="560" uniqueCount="115">
  <si>
    <t>Visites des parcs nationaux américains 2019</t>
  </si>
  <si>
    <t>Classement</t>
  </si>
  <si>
    <t>Nom du parc</t>
  </si>
  <si>
    <t>Visites</t>
  </si>
  <si>
    <t>Pourcentage de toutes les visites des parcs nationaux</t>
  </si>
  <si>
    <t>Taille (milles carrés)</t>
  </si>
  <si>
    <t>Golden Gate National Recreation Area</t>
  </si>
  <si>
    <t>Blue Ridge Parkway</t>
  </si>
  <si>
    <t>Great Smoky Mountains National Park</t>
  </si>
  <si>
    <t>George Washington Memorial Parkway</t>
  </si>
  <si>
    <t>Lincoln Memorial</t>
  </si>
  <si>
    <t>Lake Mead National Recreation Area</t>
  </si>
  <si>
    <t>Gateway National Recreation Area</t>
  </si>
  <si>
    <t>Natchez Trace Parkway</t>
  </si>
  <si>
    <t>Grand Canyon National Park</t>
  </si>
  <si>
    <t>Castle Clinton National Monument</t>
  </si>
  <si>
    <t>Cape Cod National Seashore</t>
  </si>
  <si>
    <t>Vietnam Veterans Memorial</t>
  </si>
  <si>
    <t>World War II Memorial</t>
  </si>
  <si>
    <t>Statue of Liberty National Monument</t>
  </si>
  <si>
    <t>Delaware Water Gap National Recreation Area</t>
  </si>
  <si>
    <t>Yosemite National Park</t>
  </si>
  <si>
    <t>Yellowstone National Park</t>
  </si>
  <si>
    <t>Zion National Park</t>
  </si>
  <si>
    <t>Rocky Mountain National Park</t>
  </si>
  <si>
    <t>Acadia National Park</t>
  </si>
  <si>
    <t>Olympic National Park</t>
  </si>
  <si>
    <t>Grand Teton National Park</t>
  </si>
  <si>
    <t>Glacier National Park</t>
  </si>
  <si>
    <t>Bryce Canyon National Park</t>
  </si>
  <si>
    <t>Arches National Park</t>
  </si>
  <si>
    <t>Canyonlands National Park</t>
  </si>
  <si>
    <t>Everglades National Park</t>
  </si>
  <si>
    <t>Sequoia National Park</t>
  </si>
  <si>
    <t>Kings Canyon National Park</t>
  </si>
  <si>
    <t>Mount Rainier National Park</t>
  </si>
  <si>
    <t>Rapport annuel sur le classement des parcs en termes de visites récréatives</t>
  </si>
  <si>
    <t>Région</t>
  </si>
  <si>
    <t>Visites récréatives</t>
  </si>
  <si>
    <t>Nord-Est</t>
  </si>
  <si>
    <t>Sud-Est</t>
  </si>
  <si>
    <t>Centre</t>
  </si>
  <si>
    <t>Ouest</t>
  </si>
  <si>
    <t>Nord-Ouest</t>
  </si>
  <si>
    <t>Yellowstone</t>
  </si>
  <si>
    <t>Yosemite</t>
  </si>
  <si>
    <t>Grand Canyon</t>
  </si>
  <si>
    <t>Zion</t>
  </si>
  <si>
    <t>Acadia</t>
  </si>
  <si>
    <t>Olympic</t>
  </si>
  <si>
    <t>Glacier</t>
  </si>
  <si>
    <t>Everglades</t>
  </si>
  <si>
    <t>Rocky Mountain</t>
  </si>
  <si>
    <t>Sequoia</t>
  </si>
  <si>
    <t>Kings Canyon</t>
  </si>
  <si>
    <t>Bryce Canyon</t>
  </si>
  <si>
    <t>Arches</t>
  </si>
  <si>
    <t>Canyonlands</t>
  </si>
  <si>
    <t>Grand Teton</t>
  </si>
  <si>
    <t>Mount Rainier</t>
  </si>
  <si>
    <t>Mesa Verde</t>
  </si>
  <si>
    <t>Badlands</t>
  </si>
  <si>
    <t>Joshua Tree</t>
  </si>
  <si>
    <t>Denali</t>
  </si>
  <si>
    <t>Visites des parcs nationaux américains</t>
  </si>
  <si>
    <t>Nombre de visites récréatives moyen par région [2017-2018]</t>
  </si>
  <si>
    <t>Parc</t>
  </si>
  <si>
    <t>État</t>
  </si>
  <si>
    <t>Mois</t>
  </si>
  <si>
    <t>Trimestre</t>
  </si>
  <si>
    <t>Année</t>
  </si>
  <si>
    <t>Heures des volontaires</t>
  </si>
  <si>
    <t>WY</t>
  </si>
  <si>
    <t>Janvier</t>
  </si>
  <si>
    <t>T1</t>
  </si>
  <si>
    <t>Février</t>
  </si>
  <si>
    <t>Mars</t>
  </si>
  <si>
    <t>Avril</t>
  </si>
  <si>
    <t>T2</t>
  </si>
  <si>
    <t>Mai</t>
  </si>
  <si>
    <t>Juin</t>
  </si>
  <si>
    <t>Juillet</t>
  </si>
  <si>
    <t>T3</t>
  </si>
  <si>
    <t>Août</t>
  </si>
  <si>
    <t>Septembre</t>
  </si>
  <si>
    <t>Octobre</t>
  </si>
  <si>
    <t>T4</t>
  </si>
  <si>
    <t>CA</t>
  </si>
  <si>
    <t>AZ</t>
  </si>
  <si>
    <t>UT</t>
  </si>
  <si>
    <t>ME</t>
  </si>
  <si>
    <t>Somme de Heures des volontaires</t>
  </si>
  <si>
    <t>(Tous)</t>
  </si>
  <si>
    <t>Étiquettes de lignes</t>
  </si>
  <si>
    <t>Total général</t>
  </si>
  <si>
    <t>Type de visite</t>
  </si>
  <si>
    <t>Novembre</t>
  </si>
  <si>
    <t>Décembre</t>
  </si>
  <si>
    <t>2018 Totaux</t>
  </si>
  <si>
    <t>Campeurs sauvages</t>
  </si>
  <si>
    <t>Hébergement de concession</t>
  </si>
  <si>
    <t>Campeurs divers</t>
  </si>
  <si>
    <t>Camping cars</t>
  </si>
  <si>
    <t>Campeurs en tente</t>
  </si>
  <si>
    <t>Total des nuitées</t>
  </si>
  <si>
    <t>Données des parcs nationaux américains</t>
  </si>
  <si>
    <t>2018 visiteurs d'une nuit - Bryce Canyon</t>
  </si>
  <si>
    <t>Données 2018 des parcs nationaux américains</t>
  </si>
  <si>
    <t>Visites annuelle des parcs</t>
  </si>
  <si>
    <t>Données 2017 des parcs nationaux américains</t>
  </si>
  <si>
    <t>Données 2016 des parcs nationaux américains</t>
  </si>
  <si>
    <t>Données 2015 des parcs nationaux américains</t>
  </si>
  <si>
    <t>Nuitée - Tente</t>
  </si>
  <si>
    <t>Nuitée - Sauvage</t>
  </si>
  <si>
    <t>Données 2014 des parcs nationaux américains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</si>
</sst>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6"/>
      <name val="Century Gothic"/>
      <family val="2"/>
    </font>
    <font>
      <sz val="14"/>
      <color theme="1"/>
      <name val="Century Gothic"/>
      <family val="2"/>
    </font>
    <font>
      <b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2" borderId="0" xfId="0" applyFont="1" applyFill="1"/>
    <xf numFmtId="9" fontId="3" fillId="0" borderId="0" xfId="0" applyNumberFormat="1" applyFont="1"/>
    <xf numFmtId="0" fontId="5" fillId="0" borderId="0" xfId="0" applyFont="1"/>
    <xf numFmtId="0" fontId="2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3" fontId="0" fillId="0" borderId="0" xfId="0" applyNumberForma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 Excel 2019_Projet6.xlsx]Analyse des volontairess!Tableau croisé dynamique4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des volontairess'!$B$4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des volontairess'!$A$5:$A$8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'Analyse des volontairess'!$B$5:$B$8</c:f>
              <c:numCache>
                <c:formatCode>General</c:formatCode>
                <c:ptCount val="3"/>
                <c:pt idx="0">
                  <c:v>3437</c:v>
                </c:pt>
                <c:pt idx="1">
                  <c:v>6435</c:v>
                </c:pt>
                <c:pt idx="2">
                  <c:v>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5-4D94-82F1-CD333942C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995023"/>
        <c:axId val="1627992943"/>
      </c:barChart>
      <c:catAx>
        <c:axId val="16279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7992943"/>
        <c:crosses val="autoZero"/>
        <c:auto val="1"/>
        <c:lblAlgn val="ctr"/>
        <c:lblOffset val="100"/>
        <c:noMultiLvlLbl val="0"/>
      </c:catAx>
      <c:valAx>
        <c:axId val="16279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79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1042987</xdr:colOff>
      <xdr:row>11</xdr:row>
      <xdr:rowOff>104775</xdr:rowOff>
    </xdr:from>
    <xdr:to>
      <xdr:col>11</xdr:col>
      <xdr:colOff>9525</xdr:colOff>
      <xdr:row>33</xdr:row>
      <xdr:rowOff>52015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68878BE-0EA2-394E-A0B2-C32F93B7F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5.183694097221" createdVersion="8" refreshedVersion="8" minRefreshableVersion="3" recordCount="50" xr:uid="{D717EAAC-AE35-461D-941B-4B47B04CD338}">
  <cacheSource type="worksheet">
    <worksheetSource name="TblData"/>
  </cacheSource>
  <cacheFields count="7">
    <cacheField name="Parc" numFmtId="0">
      <sharedItems count="5">
        <s v="Yellowstone"/>
        <s v="Yosemite"/>
        <s v="Grand Canyon"/>
        <s v="Zion"/>
        <s v="Acadia"/>
      </sharedItems>
    </cacheField>
    <cacheField name="État" numFmtId="0">
      <sharedItems count="5">
        <s v="WY"/>
        <s v="CA"/>
        <s v="AZ"/>
        <s v="UT"/>
        <s v="ME"/>
      </sharedItems>
    </cacheField>
    <cacheField name="Région" numFmtId="0">
      <sharedItems/>
    </cacheField>
    <cacheField name="Mois" numFmtId="0">
      <sharedItems count="10">
        <s v="Janvier"/>
        <s v="Février"/>
        <s v="Mars"/>
        <s v="Avril"/>
        <s v="Mai"/>
        <s v="Juin"/>
        <s v="Juillet"/>
        <s v="Août"/>
        <s v="Septembre"/>
        <s v="Octobre"/>
      </sharedItems>
    </cacheField>
    <cacheField name="Trimestre" numFmtId="0">
      <sharedItems count="4">
        <s v="T1"/>
        <s v="T2"/>
        <s v="T3"/>
        <s v="T4"/>
      </sharedItems>
    </cacheField>
    <cacheField name="Année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Heures des volontaires" numFmtId="0">
      <sharedItems containsSemiMixedTypes="0" containsString="0" containsNumber="1" containsInteger="1" minValue="200" maxValue="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s v="Ouest"/>
    <x v="0"/>
    <x v="0"/>
    <x v="0"/>
    <n v="200"/>
  </r>
  <r>
    <x v="1"/>
    <x v="1"/>
    <s v="Ouest"/>
    <x v="1"/>
    <x v="0"/>
    <x v="0"/>
    <n v="207"/>
  </r>
  <r>
    <x v="2"/>
    <x v="2"/>
    <s v="Ouest"/>
    <x v="2"/>
    <x v="0"/>
    <x v="0"/>
    <n v="214"/>
  </r>
  <r>
    <x v="3"/>
    <x v="3"/>
    <s v="Ouest"/>
    <x v="3"/>
    <x v="1"/>
    <x v="0"/>
    <n v="221"/>
  </r>
  <r>
    <x v="4"/>
    <x v="4"/>
    <s v="Nord-Est"/>
    <x v="4"/>
    <x v="1"/>
    <x v="0"/>
    <n v="228"/>
  </r>
  <r>
    <x v="0"/>
    <x v="0"/>
    <s v="Ouest"/>
    <x v="5"/>
    <x v="1"/>
    <x v="0"/>
    <n v="235"/>
  </r>
  <r>
    <x v="1"/>
    <x v="1"/>
    <s v="Ouest"/>
    <x v="6"/>
    <x v="2"/>
    <x v="0"/>
    <n v="242"/>
  </r>
  <r>
    <x v="2"/>
    <x v="2"/>
    <s v="Ouest"/>
    <x v="7"/>
    <x v="2"/>
    <x v="0"/>
    <n v="249"/>
  </r>
  <r>
    <x v="3"/>
    <x v="3"/>
    <s v="Ouest"/>
    <x v="8"/>
    <x v="2"/>
    <x v="0"/>
    <n v="256"/>
  </r>
  <r>
    <x v="4"/>
    <x v="4"/>
    <s v="Nord-Est"/>
    <x v="9"/>
    <x v="3"/>
    <x v="0"/>
    <n v="263"/>
  </r>
  <r>
    <x v="0"/>
    <x v="0"/>
    <s v="Ouest"/>
    <x v="0"/>
    <x v="0"/>
    <x v="0"/>
    <n v="270"/>
  </r>
  <r>
    <x v="1"/>
    <x v="1"/>
    <s v="Ouest"/>
    <x v="1"/>
    <x v="0"/>
    <x v="0"/>
    <n v="277"/>
  </r>
  <r>
    <x v="2"/>
    <x v="2"/>
    <s v="Ouest"/>
    <x v="2"/>
    <x v="0"/>
    <x v="0"/>
    <n v="284"/>
  </r>
  <r>
    <x v="3"/>
    <x v="3"/>
    <s v="Ouest"/>
    <x v="3"/>
    <x v="1"/>
    <x v="0"/>
    <n v="291"/>
  </r>
  <r>
    <x v="4"/>
    <x v="4"/>
    <s v="Nord-Est"/>
    <x v="4"/>
    <x v="1"/>
    <x v="1"/>
    <n v="298"/>
  </r>
  <r>
    <x v="0"/>
    <x v="0"/>
    <s v="Ouest"/>
    <x v="5"/>
    <x v="1"/>
    <x v="1"/>
    <n v="305"/>
  </r>
  <r>
    <x v="1"/>
    <x v="1"/>
    <s v="Ouest"/>
    <x v="6"/>
    <x v="2"/>
    <x v="1"/>
    <n v="312"/>
  </r>
  <r>
    <x v="2"/>
    <x v="2"/>
    <s v="Ouest"/>
    <x v="7"/>
    <x v="2"/>
    <x v="1"/>
    <n v="319"/>
  </r>
  <r>
    <x v="3"/>
    <x v="3"/>
    <s v="Ouest"/>
    <x v="8"/>
    <x v="2"/>
    <x v="1"/>
    <n v="326"/>
  </r>
  <r>
    <x v="4"/>
    <x v="4"/>
    <s v="Nord-Est"/>
    <x v="9"/>
    <x v="3"/>
    <x v="1"/>
    <n v="333"/>
  </r>
  <r>
    <x v="0"/>
    <x v="0"/>
    <s v="Ouest"/>
    <x v="0"/>
    <x v="0"/>
    <x v="1"/>
    <n v="340"/>
  </r>
  <r>
    <x v="1"/>
    <x v="1"/>
    <s v="Ouest"/>
    <x v="1"/>
    <x v="0"/>
    <x v="1"/>
    <n v="347"/>
  </r>
  <r>
    <x v="2"/>
    <x v="2"/>
    <s v="Ouest"/>
    <x v="2"/>
    <x v="0"/>
    <x v="1"/>
    <n v="354"/>
  </r>
  <r>
    <x v="3"/>
    <x v="3"/>
    <s v="Ouest"/>
    <x v="3"/>
    <x v="1"/>
    <x v="1"/>
    <n v="361"/>
  </r>
  <r>
    <x v="4"/>
    <x v="4"/>
    <s v="Nord-Est"/>
    <x v="4"/>
    <x v="1"/>
    <x v="1"/>
    <n v="368"/>
  </r>
  <r>
    <x v="0"/>
    <x v="0"/>
    <s v="Ouest"/>
    <x v="5"/>
    <x v="1"/>
    <x v="1"/>
    <n v="375"/>
  </r>
  <r>
    <x v="1"/>
    <x v="1"/>
    <s v="Ouest"/>
    <x v="6"/>
    <x v="2"/>
    <x v="1"/>
    <n v="382"/>
  </r>
  <r>
    <x v="2"/>
    <x v="2"/>
    <s v="Ouest"/>
    <x v="7"/>
    <x v="2"/>
    <x v="1"/>
    <n v="389"/>
  </r>
  <r>
    <x v="3"/>
    <x v="3"/>
    <s v="Ouest"/>
    <x v="8"/>
    <x v="2"/>
    <x v="1"/>
    <n v="396"/>
  </r>
  <r>
    <x v="4"/>
    <x v="4"/>
    <s v="Nord-Est"/>
    <x v="9"/>
    <x v="3"/>
    <x v="1"/>
    <n v="403"/>
  </r>
  <r>
    <x v="0"/>
    <x v="0"/>
    <s v="Ouest"/>
    <x v="0"/>
    <x v="0"/>
    <x v="1"/>
    <n v="410"/>
  </r>
  <r>
    <x v="1"/>
    <x v="1"/>
    <s v="Ouest"/>
    <x v="1"/>
    <x v="0"/>
    <x v="1"/>
    <n v="417"/>
  </r>
  <r>
    <x v="2"/>
    <x v="2"/>
    <s v="Ouest"/>
    <x v="2"/>
    <x v="0"/>
    <x v="2"/>
    <n v="424"/>
  </r>
  <r>
    <x v="3"/>
    <x v="3"/>
    <s v="Ouest"/>
    <x v="3"/>
    <x v="1"/>
    <x v="2"/>
    <n v="431"/>
  </r>
  <r>
    <x v="4"/>
    <x v="4"/>
    <s v="Nord-Est"/>
    <x v="4"/>
    <x v="1"/>
    <x v="2"/>
    <n v="438"/>
  </r>
  <r>
    <x v="0"/>
    <x v="0"/>
    <s v="Ouest"/>
    <x v="5"/>
    <x v="1"/>
    <x v="2"/>
    <n v="445"/>
  </r>
  <r>
    <x v="1"/>
    <x v="1"/>
    <s v="Ouest"/>
    <x v="6"/>
    <x v="2"/>
    <x v="2"/>
    <n v="452"/>
  </r>
  <r>
    <x v="2"/>
    <x v="2"/>
    <s v="Ouest"/>
    <x v="7"/>
    <x v="2"/>
    <x v="2"/>
    <n v="459"/>
  </r>
  <r>
    <x v="3"/>
    <x v="3"/>
    <s v="Ouest"/>
    <x v="8"/>
    <x v="2"/>
    <x v="2"/>
    <n v="466"/>
  </r>
  <r>
    <x v="4"/>
    <x v="4"/>
    <s v="Nord-Est"/>
    <x v="9"/>
    <x v="3"/>
    <x v="2"/>
    <n v="473"/>
  </r>
  <r>
    <x v="0"/>
    <x v="0"/>
    <s v="Ouest"/>
    <x v="0"/>
    <x v="0"/>
    <x v="2"/>
    <n v="480"/>
  </r>
  <r>
    <x v="1"/>
    <x v="1"/>
    <s v="Ouest"/>
    <x v="1"/>
    <x v="0"/>
    <x v="2"/>
    <n v="487"/>
  </r>
  <r>
    <x v="2"/>
    <x v="2"/>
    <s v="Ouest"/>
    <x v="2"/>
    <x v="0"/>
    <x v="2"/>
    <n v="494"/>
  </r>
  <r>
    <x v="3"/>
    <x v="3"/>
    <s v="Ouest"/>
    <x v="3"/>
    <x v="1"/>
    <x v="2"/>
    <n v="501"/>
  </r>
  <r>
    <x v="4"/>
    <x v="4"/>
    <s v="Nord-Est"/>
    <x v="4"/>
    <x v="1"/>
    <x v="2"/>
    <n v="508"/>
  </r>
  <r>
    <x v="0"/>
    <x v="0"/>
    <s v="Ouest"/>
    <x v="5"/>
    <x v="1"/>
    <x v="2"/>
    <n v="515"/>
  </r>
  <r>
    <x v="1"/>
    <x v="1"/>
    <s v="Ouest"/>
    <x v="6"/>
    <x v="2"/>
    <x v="2"/>
    <n v="522"/>
  </r>
  <r>
    <x v="2"/>
    <x v="2"/>
    <s v="Ouest"/>
    <x v="7"/>
    <x v="2"/>
    <x v="2"/>
    <n v="529"/>
  </r>
  <r>
    <x v="3"/>
    <x v="3"/>
    <s v="Ouest"/>
    <x v="8"/>
    <x v="2"/>
    <x v="2"/>
    <n v="536"/>
  </r>
  <r>
    <x v="4"/>
    <x v="4"/>
    <s v="Nord-Est"/>
    <x v="9"/>
    <x v="3"/>
    <x v="2"/>
    <n v="5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04573-1C31-456E-B34E-160BB9C3BA6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4:B8" firstHeaderRow="1" firstDataRow="1" firstDataCol="1" rowPageCount="2" colPageCount="1"/>
  <pivotFields count="7">
    <pivotField axis="axisPage" showAll="0">
      <items count="6">
        <item x="4"/>
        <item x="2"/>
        <item x="0"/>
        <item x="1"/>
        <item x="3"/>
        <item t="default"/>
      </items>
    </pivotField>
    <pivotField axis="axisPage" showAll="0">
      <items count="6">
        <item x="2"/>
        <item x="1"/>
        <item x="4"/>
        <item x="3"/>
        <item x="0"/>
        <item t="default"/>
      </items>
    </pivotField>
    <pivotField showAll="0"/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dataField="1" showAll="0"/>
  </pivotFields>
  <rowFields count="3">
    <field x="5"/>
    <field x="3"/>
    <field x="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1" hier="-1"/>
  </pageFields>
  <dataFields count="1">
    <dataField name="Somme de Heures des volontaires" fld="6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2DE65F-823B-40DA-9787-7E68AB2FA54D}" name="Tab2018_4567" displayName="Tab2018_4567" ref="A4:E24">
  <autoFilter ref="A4:E24" xr:uid="{AD2DE65F-823B-40DA-9787-7E68AB2FA54D}"/>
  <tableColumns count="5">
    <tableColumn id="1" xr3:uid="{F629B427-BF18-4C7A-88D5-65585A63C83C}" name="Région"/>
    <tableColumn id="2" xr3:uid="{69C6BB39-5885-472A-A0DE-95229DD1C885}" name="Nom du parc"/>
    <tableColumn id="4" xr3:uid="{8DB2478F-379D-476C-BDA6-9D493FE92C4F}" name="Visites récréatives"/>
    <tableColumn id="3" xr3:uid="{C0EC91E4-18E5-4789-B5E8-CE44575EFD68}" name="Nuitée - Tente"/>
    <tableColumn id="5" xr3:uid="{9A3F6ABC-F9F8-4624-AC9E-2C1FCB0131B2}" name="Nuitée - Sauv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B04E1-4B84-4491-A361-99061606A63C}" name="Tab2018_456" displayName="Tab2018_456" ref="A4:E24">
  <autoFilter ref="A4:E24" xr:uid="{88DB04E1-4B84-4491-A361-99061606A63C}"/>
  <tableColumns count="5">
    <tableColumn id="1" xr3:uid="{F860C682-9B7D-42DD-AB98-9F17AB1CAEDC}" name="Région"/>
    <tableColumn id="2" xr3:uid="{F38D7F64-7F86-46C4-9DE9-D6BAB71B4B6F}" name="Nom du parc"/>
    <tableColumn id="4" xr3:uid="{DEB060BB-EFA6-44E6-A5C1-A1FE199E98D3}" name="Visites récréatives"/>
    <tableColumn id="3" xr3:uid="{B665069F-6CD3-455F-8E78-45A315F43242}" name="Nuitée - Tente"/>
    <tableColumn id="5" xr3:uid="{BAACA804-C1BF-4E85-8871-8C6C3E26E685}" name="Nuitée - Sauv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A57795-BA80-414B-A9BA-6567427D2955}" name="Tab2018_45" displayName="Tab2018_45" ref="A4:E24">
  <autoFilter ref="A4:E24" xr:uid="{6DA57795-BA80-414B-A9BA-6567427D2955}"/>
  <tableColumns count="5">
    <tableColumn id="1" xr3:uid="{51D261A2-10B2-490F-919A-4088794980D0}" name="Région"/>
    <tableColumn id="2" xr3:uid="{50931EC1-B500-4657-BBC8-6EB0B1870DC4}" name="Nom du parc"/>
    <tableColumn id="4" xr3:uid="{46CC3543-5A47-4F7D-AC36-0EDDFC653481}" name="Visites récréatives"/>
    <tableColumn id="3" xr3:uid="{2BDF34CC-2037-4A17-83D7-3F98EE24B624}" name="Nuitée - Tente"/>
    <tableColumn id="5" xr3:uid="{6054FBD5-BDFD-419F-93FC-A878F4B2AB45}" name="Nuitée - Sauv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C941D-6AB3-4E34-94AF-A7360F39B575}" name="Tab2018_4" displayName="Tab2018_4" ref="A4:E24">
  <autoFilter ref="A4:E24" xr:uid="{D0BC941D-6AB3-4E34-94AF-A7360F39B575}"/>
  <tableColumns count="5">
    <tableColumn id="1" xr3:uid="{C787D395-08A5-43DB-B7F8-E66873079A56}" name="Région"/>
    <tableColumn id="2" xr3:uid="{77B14BA1-0041-4222-893C-0DA16EE74E2E}" name="Nom du parc"/>
    <tableColumn id="4" xr3:uid="{F08500AE-166E-4FD9-A3F9-1AB0CA654D3D}" name="Visites récréatives"/>
    <tableColumn id="3" xr3:uid="{843E243F-084C-4CBD-955F-390B883CD343}" name="Nuitée - Tente"/>
    <tableColumn id="5" xr3:uid="{27774839-5F85-452C-ABBF-B1E7E846DBB9}" name="Nuitée - Sauv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7EBB1B-BD2F-48BA-AF42-55CE3E367CC9}" name="Tab2018_" displayName="Tab2018_" ref="A4:E24">
  <autoFilter ref="A4:E24" xr:uid="{00000000-0009-0000-0100-000005000000}"/>
  <tableColumns count="5">
    <tableColumn id="1" xr3:uid="{6C0A4A9E-76DD-4E1F-B7AA-4B6E398424A4}" name="Région"/>
    <tableColumn id="2" xr3:uid="{0DB8F51E-5298-47DD-886B-1099CE3F6D12}" name="Nom du parc"/>
    <tableColumn id="4" xr3:uid="{11B5C6E3-3C1D-4A19-B215-41FDC95E39EE}" name="Visites récréatives"/>
    <tableColumn id="3" xr3:uid="{86A3588E-E28E-46E3-A338-5EB5571C0777}" name="Nuitée - Tente"/>
    <tableColumn id="5" xr3:uid="{E8E620FB-7AE2-4EF9-AFC7-E3286D0993AE}" name="Nuitée - Sauv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csNationaux" displayName="ParcsNationaux" ref="A4:E34" headerRowDxfId="19" dataDxfId="18" totalsRowDxfId="17">
  <autoFilter ref="A4:E34" xr:uid="{00000000-0009-0000-0100-000001000000}"/>
  <tableColumns count="5">
    <tableColumn id="1" xr3:uid="{00000000-0010-0000-0000-000001000000}" name="Classement" dataDxfId="16"/>
    <tableColumn id="2" xr3:uid="{00000000-0010-0000-0000-000002000000}" name="Nom du parc" dataDxfId="15"/>
    <tableColumn id="3" xr3:uid="{00000000-0010-0000-0000-000003000000}" name="Visites" dataDxfId="14"/>
    <tableColumn id="4" xr3:uid="{00000000-0010-0000-0000-000004000000}" name="Pourcentage de toutes les visites des parcs nationaux" dataDxfId="13"/>
    <tableColumn id="5" xr3:uid="{00000000-0010-0000-0000-000005000000}" name="Taille (milles carrés)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D2292-613F-44EB-ABE7-5E9A61EC8562}" name="Tableau2" displayName="Tableau2" ref="A4:N10" totalsRowShown="0">
  <autoFilter ref="A4:N10" xr:uid="{51DD2292-613F-44EB-ABE7-5E9A61EC8562}"/>
  <tableColumns count="14">
    <tableColumn id="1" xr3:uid="{624883D8-BD2B-4C5E-9299-A83BD1D95710}" name="Type de visite"/>
    <tableColumn id="2" xr3:uid="{1FB97937-AE90-412A-8C84-8DD026F6F674}" name="Janvier"/>
    <tableColumn id="3" xr3:uid="{540DBD96-4353-43BE-80F0-8694829918DF}" name="Février"/>
    <tableColumn id="4" xr3:uid="{0FA9A494-1BF8-449E-A57F-750ADBC20C49}" name="Mars"/>
    <tableColumn id="5" xr3:uid="{0355EF4B-AE83-426B-8429-0E8DD2669990}" name="Avril"/>
    <tableColumn id="6" xr3:uid="{BF34292C-0951-4CD6-BE93-49E7983A778A}" name="Mai"/>
    <tableColumn id="7" xr3:uid="{3468938B-DA63-4CC3-BDC0-09116E526229}" name="Juin"/>
    <tableColumn id="8" xr3:uid="{3142EA89-FB1F-497F-804B-496745A7B2E0}" name="Juillet"/>
    <tableColumn id="9" xr3:uid="{6ED4D33E-057D-48DD-97D2-F26D7F3BBC50}" name="Août"/>
    <tableColumn id="10" xr3:uid="{F0063844-B35B-4242-A90E-CF253D665C12}" name="Septembre"/>
    <tableColumn id="11" xr3:uid="{126F8BD7-3296-4EAF-A14E-95DEBF8D4357}" name="Octobre"/>
    <tableColumn id="12" xr3:uid="{CDF529E7-82F9-4F6A-BFFB-EC677E2EF823}" name="Novembre"/>
    <tableColumn id="13" xr3:uid="{1E5C9F17-C538-4A4A-BD3C-074A62B1703E}" name="Décembre"/>
    <tableColumn id="14" xr3:uid="{33FF0573-45BF-4836-AD4E-66D21AF39EC4}" name="2018 Totaux">
      <calculatedColumnFormula>SUM(Tableau2[[#This Row],[Janvier]:[Décembre]])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EB2CDF-CF74-4E42-A778-2295F42EE192}" name="TblData" displayName="TblData" ref="A1:G51">
  <autoFilter ref="A1:G51" xr:uid="{00000000-0009-0000-0100-000001000000}"/>
  <tableColumns count="7">
    <tableColumn id="1" xr3:uid="{6CFC071B-6DE2-4D0B-842B-385213965BAF}" name="Parc"/>
    <tableColumn id="2" xr3:uid="{58DC737F-4874-484A-B0B3-912172937D6F}" name="État"/>
    <tableColumn id="3" xr3:uid="{FF4BF496-E182-45C9-BA31-1EFDCAA565A1}" name="Région"/>
    <tableColumn id="4" xr3:uid="{3C9FC60E-BA3E-48B0-A662-C18953B4EE30}" name="Mois"/>
    <tableColumn id="5" xr3:uid="{62348BFA-16C4-44F3-A93F-F82404C92AF4}" name="Trimestre"/>
    <tableColumn id="6" xr3:uid="{38CCD894-98C6-46C8-9CBF-3FF8B47E5E71}" name="Année"/>
    <tableColumn id="7" xr3:uid="{07176CF4-6202-468B-AEC9-471036740463}" name="Heures des volontai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AD76-F50D-44AE-8C2F-A48F6802F0C9}">
  <sheetPr>
    <tabColor rgb="FF92D050"/>
  </sheetPr>
  <dimension ref="A1:E9"/>
  <sheetViews>
    <sheetView workbookViewId="0">
      <selection activeCell="I8" sqref="I8"/>
    </sheetView>
  </sheetViews>
  <sheetFormatPr baseColWidth="10" defaultRowHeight="15" x14ac:dyDescent="0.25"/>
  <sheetData>
    <row r="1" spans="1:5" ht="20.25" x14ac:dyDescent="0.3">
      <c r="A1" s="4" t="s">
        <v>64</v>
      </c>
    </row>
    <row r="2" spans="1:5" ht="16.5" x14ac:dyDescent="0.3">
      <c r="A2" s="1" t="s">
        <v>65</v>
      </c>
    </row>
    <row r="6" spans="1:5" x14ac:dyDescent="0.25">
      <c r="D6" s="10"/>
      <c r="E6" s="10"/>
    </row>
    <row r="7" spans="1:5" x14ac:dyDescent="0.25">
      <c r="C7" s="10"/>
      <c r="D7" s="10"/>
      <c r="E7" s="10"/>
    </row>
    <row r="8" spans="1:5" x14ac:dyDescent="0.25">
      <c r="C8" s="10"/>
      <c r="D8" s="10"/>
      <c r="E8" s="10"/>
    </row>
    <row r="9" spans="1:5" x14ac:dyDescent="0.25">
      <c r="C9" s="10"/>
      <c r="E9" s="10"/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8237-100B-42EF-90F7-AF92C40CB5D5}">
  <sheetPr>
    <tabColor rgb="FFFFFF00"/>
  </sheetPr>
  <dimension ref="A1:E24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1.42578125" bestFit="1" customWidth="1"/>
    <col min="2" max="2" width="15.140625" bestFit="1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114</v>
      </c>
    </row>
    <row r="2" spans="1:5" ht="16.5" x14ac:dyDescent="0.3">
      <c r="A2" s="1" t="s">
        <v>108</v>
      </c>
    </row>
    <row r="3" spans="1:5" ht="16.5" x14ac:dyDescent="0.3">
      <c r="A3" s="1"/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134</v>
      </c>
      <c r="E5">
        <v>381</v>
      </c>
    </row>
    <row r="6" spans="1:5" x14ac:dyDescent="0.25">
      <c r="A6" t="s">
        <v>40</v>
      </c>
      <c r="B6" t="s">
        <v>45</v>
      </c>
      <c r="C6" s="10">
        <v>2636</v>
      </c>
      <c r="E6" s="10">
        <v>1123</v>
      </c>
    </row>
    <row r="7" spans="1:5" x14ac:dyDescent="0.25">
      <c r="A7" t="s">
        <v>41</v>
      </c>
      <c r="B7" t="s">
        <v>46</v>
      </c>
      <c r="C7" s="10"/>
      <c r="E7" s="10"/>
    </row>
    <row r="8" spans="1:5" x14ac:dyDescent="0.25">
      <c r="A8" t="s">
        <v>42</v>
      </c>
      <c r="B8" t="s">
        <v>47</v>
      </c>
      <c r="C8" s="10">
        <v>531315</v>
      </c>
      <c r="D8" s="10">
        <v>25873</v>
      </c>
      <c r="E8" s="10">
        <v>38443</v>
      </c>
    </row>
    <row r="9" spans="1:5" x14ac:dyDescent="0.25">
      <c r="A9" t="s">
        <v>43</v>
      </c>
      <c r="B9" t="s">
        <v>48</v>
      </c>
      <c r="C9" s="10">
        <v>12669</v>
      </c>
      <c r="E9" s="10">
        <v>6166</v>
      </c>
    </row>
    <row r="10" spans="1:5" x14ac:dyDescent="0.25">
      <c r="A10" t="s">
        <v>39</v>
      </c>
      <c r="B10" t="s">
        <v>49</v>
      </c>
      <c r="C10" s="10">
        <v>500727</v>
      </c>
      <c r="D10">
        <v>764</v>
      </c>
      <c r="E10" s="10">
        <v>6303</v>
      </c>
    </row>
    <row r="11" spans="1:5" x14ac:dyDescent="0.25">
      <c r="A11" t="s">
        <v>40</v>
      </c>
      <c r="B11" t="s">
        <v>50</v>
      </c>
      <c r="C11" s="10">
        <v>30896</v>
      </c>
      <c r="D11" s="10">
        <v>1898</v>
      </c>
      <c r="E11">
        <v>483</v>
      </c>
    </row>
    <row r="12" spans="1:5" x14ac:dyDescent="0.25">
      <c r="A12" t="s">
        <v>41</v>
      </c>
      <c r="B12" t="s">
        <v>51</v>
      </c>
      <c r="C12" s="10">
        <v>270666</v>
      </c>
      <c r="D12" s="10">
        <v>1130</v>
      </c>
      <c r="E12">
        <v>432</v>
      </c>
    </row>
    <row r="13" spans="1:5" x14ac:dyDescent="0.25">
      <c r="A13" t="s">
        <v>42</v>
      </c>
      <c r="B13" t="s">
        <v>52</v>
      </c>
      <c r="C13" s="10">
        <v>270666</v>
      </c>
      <c r="D13" s="10">
        <v>1470</v>
      </c>
      <c r="E13" s="10">
        <v>4170</v>
      </c>
    </row>
    <row r="14" spans="1:5" x14ac:dyDescent="0.25">
      <c r="A14" t="s">
        <v>43</v>
      </c>
      <c r="B14" t="s">
        <v>53</v>
      </c>
      <c r="C14" s="10">
        <v>1085202</v>
      </c>
      <c r="E14" s="10"/>
    </row>
    <row r="15" spans="1:5" x14ac:dyDescent="0.25">
      <c r="A15" t="s">
        <v>39</v>
      </c>
      <c r="B15" t="s">
        <v>54</v>
      </c>
      <c r="C15" s="10"/>
      <c r="E15" s="10">
        <v>2174</v>
      </c>
    </row>
    <row r="16" spans="1:5" x14ac:dyDescent="0.25">
      <c r="A16" t="s">
        <v>40</v>
      </c>
      <c r="B16" t="s">
        <v>55</v>
      </c>
      <c r="C16" s="10">
        <v>16100</v>
      </c>
      <c r="E16" s="10"/>
    </row>
    <row r="17" spans="1:5" x14ac:dyDescent="0.25">
      <c r="A17" t="s">
        <v>41</v>
      </c>
      <c r="B17" t="s">
        <v>56</v>
      </c>
      <c r="C17" s="10"/>
    </row>
    <row r="18" spans="1:5" x14ac:dyDescent="0.25">
      <c r="A18" t="s">
        <v>42</v>
      </c>
      <c r="B18" t="s">
        <v>57</v>
      </c>
      <c r="C18" s="10">
        <v>157297</v>
      </c>
    </row>
    <row r="19" spans="1:5" x14ac:dyDescent="0.25">
      <c r="A19" t="s">
        <v>43</v>
      </c>
      <c r="B19" t="s">
        <v>58</v>
      </c>
      <c r="C19" s="10">
        <v>74722</v>
      </c>
      <c r="E19" s="10">
        <v>10471</v>
      </c>
    </row>
    <row r="20" spans="1:5" x14ac:dyDescent="0.25">
      <c r="A20" t="s">
        <v>39</v>
      </c>
      <c r="B20" t="s">
        <v>59</v>
      </c>
      <c r="C20" s="10">
        <v>2329</v>
      </c>
    </row>
    <row r="21" spans="1:5" x14ac:dyDescent="0.25">
      <c r="A21" t="s">
        <v>40</v>
      </c>
      <c r="B21" t="s">
        <v>60</v>
      </c>
      <c r="C21" s="10">
        <v>333079</v>
      </c>
    </row>
    <row r="22" spans="1:5" x14ac:dyDescent="0.25">
      <c r="A22" t="s">
        <v>41</v>
      </c>
      <c r="B22" t="s">
        <v>61</v>
      </c>
      <c r="C22" s="10">
        <v>671638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10">
        <v>299860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10E3-0C14-4EB7-9682-7808DD6B8D6E}">
  <sheetPr>
    <tabColor rgb="FF00B050"/>
  </sheetPr>
  <dimension ref="A1:E24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16.5703125" customWidth="1"/>
    <col min="2" max="2" width="17.28515625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111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153</v>
      </c>
      <c r="E5">
        <v>235</v>
      </c>
    </row>
    <row r="6" spans="1:5" x14ac:dyDescent="0.25">
      <c r="A6" t="s">
        <v>40</v>
      </c>
      <c r="B6" t="s">
        <v>45</v>
      </c>
      <c r="C6" s="10">
        <v>2642</v>
      </c>
      <c r="E6" s="10">
        <v>1123</v>
      </c>
    </row>
    <row r="7" spans="1:5" x14ac:dyDescent="0.25">
      <c r="A7" t="s">
        <v>41</v>
      </c>
      <c r="B7" t="s">
        <v>46</v>
      </c>
      <c r="C7" s="10"/>
      <c r="E7" s="10">
        <v>6300</v>
      </c>
    </row>
    <row r="8" spans="1:5" x14ac:dyDescent="0.25">
      <c r="A8" t="s">
        <v>42</v>
      </c>
      <c r="B8" t="s">
        <v>47</v>
      </c>
      <c r="C8" s="10">
        <v>560757</v>
      </c>
      <c r="E8" s="10">
        <v>23748</v>
      </c>
    </row>
    <row r="9" spans="1:5" x14ac:dyDescent="0.25">
      <c r="A9" t="s">
        <v>43</v>
      </c>
      <c r="B9" t="s">
        <v>48</v>
      </c>
      <c r="C9" s="10">
        <v>10745</v>
      </c>
      <c r="E9" s="10">
        <v>7561</v>
      </c>
    </row>
    <row r="10" spans="1:5" x14ac:dyDescent="0.25">
      <c r="A10" t="s">
        <v>39</v>
      </c>
      <c r="B10" t="s">
        <v>49</v>
      </c>
      <c r="C10" s="10">
        <v>551353</v>
      </c>
      <c r="D10">
        <v>783</v>
      </c>
      <c r="E10" s="10">
        <v>5840</v>
      </c>
    </row>
    <row r="11" spans="1:5" x14ac:dyDescent="0.25">
      <c r="A11" t="s">
        <v>40</v>
      </c>
      <c r="B11" t="s">
        <v>50</v>
      </c>
      <c r="C11" s="10">
        <v>37818</v>
      </c>
      <c r="D11" s="10">
        <v>2098</v>
      </c>
      <c r="E11">
        <v>483</v>
      </c>
    </row>
    <row r="12" spans="1:5" x14ac:dyDescent="0.25">
      <c r="A12" t="s">
        <v>41</v>
      </c>
      <c r="B12" t="s">
        <v>51</v>
      </c>
      <c r="C12" s="10">
        <v>296697</v>
      </c>
      <c r="D12">
        <v>1080</v>
      </c>
      <c r="E12">
        <v>676</v>
      </c>
    </row>
    <row r="13" spans="1:5" x14ac:dyDescent="0.25">
      <c r="A13" t="s">
        <v>42</v>
      </c>
      <c r="B13" t="s">
        <v>52</v>
      </c>
      <c r="C13" s="10">
        <v>919661</v>
      </c>
      <c r="D13">
        <v>1315</v>
      </c>
      <c r="E13" s="10">
        <v>5508</v>
      </c>
    </row>
    <row r="14" spans="1:5" x14ac:dyDescent="0.25">
      <c r="A14" t="s">
        <v>43</v>
      </c>
      <c r="B14" t="s">
        <v>53</v>
      </c>
      <c r="C14" s="10"/>
      <c r="E14" s="10">
        <v>7050</v>
      </c>
    </row>
    <row r="15" spans="1:5" x14ac:dyDescent="0.25">
      <c r="A15" t="s">
        <v>39</v>
      </c>
      <c r="B15" t="s">
        <v>54</v>
      </c>
      <c r="C15" s="10">
        <v>17818</v>
      </c>
      <c r="E15" s="10">
        <v>7198</v>
      </c>
    </row>
    <row r="16" spans="1:5" x14ac:dyDescent="0.25">
      <c r="A16" t="s">
        <v>40</v>
      </c>
      <c r="B16" t="s">
        <v>55</v>
      </c>
      <c r="C16" s="10"/>
      <c r="E16" s="10">
        <v>5600</v>
      </c>
    </row>
    <row r="17" spans="1:5" x14ac:dyDescent="0.25">
      <c r="A17" t="s">
        <v>41</v>
      </c>
      <c r="B17" t="s">
        <v>56</v>
      </c>
      <c r="C17" s="10">
        <v>185150</v>
      </c>
    </row>
    <row r="18" spans="1:5" x14ac:dyDescent="0.25">
      <c r="A18" t="s">
        <v>42</v>
      </c>
      <c r="B18" t="s">
        <v>57</v>
      </c>
      <c r="C18" s="10">
        <v>80366</v>
      </c>
    </row>
    <row r="19" spans="1:5" x14ac:dyDescent="0.25">
      <c r="A19" t="s">
        <v>43</v>
      </c>
      <c r="B19" t="s">
        <v>58</v>
      </c>
      <c r="C19" s="10">
        <v>1133</v>
      </c>
      <c r="E19" s="10">
        <v>3613</v>
      </c>
    </row>
    <row r="20" spans="1:5" x14ac:dyDescent="0.25">
      <c r="A20" t="s">
        <v>39</v>
      </c>
      <c r="B20" t="s">
        <v>59</v>
      </c>
      <c r="C20" s="10">
        <v>347180</v>
      </c>
    </row>
    <row r="21" spans="1:5" x14ac:dyDescent="0.25">
      <c r="A21" t="s">
        <v>40</v>
      </c>
      <c r="B21" t="s">
        <v>60</v>
      </c>
      <c r="C21" s="10">
        <v>49500</v>
      </c>
    </row>
    <row r="22" spans="1:5" x14ac:dyDescent="0.25">
      <c r="A22" t="s">
        <v>41</v>
      </c>
      <c r="B22" t="s">
        <v>61</v>
      </c>
      <c r="C22" s="10">
        <v>9081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10">
        <v>299860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E143-7E7D-4F77-88A4-B9E623D285DB}">
  <sheetPr>
    <tabColor rgb="FF0070C0"/>
  </sheetPr>
  <dimension ref="A1:E24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5" customWidth="1"/>
    <col min="2" max="2" width="18.140625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110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100</v>
      </c>
      <c r="E5">
        <v>235</v>
      </c>
    </row>
    <row r="6" spans="1:5" x14ac:dyDescent="0.25">
      <c r="A6" t="s">
        <v>40</v>
      </c>
      <c r="B6" t="s">
        <v>45</v>
      </c>
      <c r="C6">
        <v>2642</v>
      </c>
      <c r="E6" s="10">
        <v>1123</v>
      </c>
    </row>
    <row r="7" spans="1:5" x14ac:dyDescent="0.25">
      <c r="A7" t="s">
        <v>41</v>
      </c>
      <c r="B7" t="s">
        <v>46</v>
      </c>
      <c r="C7" s="10">
        <v>15000</v>
      </c>
      <c r="E7" s="10">
        <v>6300</v>
      </c>
    </row>
    <row r="8" spans="1:5" x14ac:dyDescent="0.25">
      <c r="A8" t="s">
        <v>42</v>
      </c>
      <c r="B8" t="s">
        <v>47</v>
      </c>
      <c r="C8" s="10">
        <v>587412</v>
      </c>
      <c r="E8" s="10">
        <v>23748</v>
      </c>
    </row>
    <row r="9" spans="1:5" x14ac:dyDescent="0.25">
      <c r="A9" t="s">
        <v>43</v>
      </c>
      <c r="B9" t="s">
        <v>48</v>
      </c>
      <c r="C9" s="10">
        <v>10047</v>
      </c>
      <c r="E9" s="10">
        <v>7561</v>
      </c>
    </row>
    <row r="10" spans="1:5" x14ac:dyDescent="0.25">
      <c r="A10" t="s">
        <v>39</v>
      </c>
      <c r="B10" t="s">
        <v>49</v>
      </c>
      <c r="C10" s="10">
        <v>520171</v>
      </c>
      <c r="D10">
        <v>783</v>
      </c>
      <c r="E10" s="10">
        <v>5840</v>
      </c>
    </row>
    <row r="11" spans="1:5" x14ac:dyDescent="0.25">
      <c r="A11" t="s">
        <v>40</v>
      </c>
      <c r="B11" t="s">
        <v>50</v>
      </c>
      <c r="C11" s="10">
        <v>37818</v>
      </c>
      <c r="D11" s="10">
        <v>2098</v>
      </c>
      <c r="E11">
        <v>483</v>
      </c>
    </row>
    <row r="12" spans="1:5" x14ac:dyDescent="0.25">
      <c r="A12" t="s">
        <v>41</v>
      </c>
      <c r="B12" t="s">
        <v>51</v>
      </c>
      <c r="C12" s="10">
        <v>321596</v>
      </c>
      <c r="D12">
        <v>1080</v>
      </c>
      <c r="E12">
        <v>676</v>
      </c>
    </row>
    <row r="13" spans="1:5" x14ac:dyDescent="0.25">
      <c r="A13" t="s">
        <v>42</v>
      </c>
      <c r="B13" t="s">
        <v>52</v>
      </c>
      <c r="C13" s="10">
        <v>1017298</v>
      </c>
      <c r="D13">
        <v>1315</v>
      </c>
      <c r="E13" s="10">
        <v>5508</v>
      </c>
    </row>
    <row r="14" spans="1:5" x14ac:dyDescent="0.25">
      <c r="A14" t="s">
        <v>43</v>
      </c>
      <c r="B14" t="s">
        <v>53</v>
      </c>
      <c r="C14" s="10">
        <v>14937</v>
      </c>
      <c r="E14" s="10">
        <v>7050</v>
      </c>
    </row>
    <row r="15" spans="1:5" x14ac:dyDescent="0.25">
      <c r="A15" t="s">
        <v>39</v>
      </c>
      <c r="B15" t="s">
        <v>54</v>
      </c>
      <c r="C15" s="10">
        <v>14479</v>
      </c>
      <c r="E15" s="10">
        <v>7198</v>
      </c>
    </row>
    <row r="16" spans="1:5" x14ac:dyDescent="0.25">
      <c r="A16" t="s">
        <v>40</v>
      </c>
      <c r="B16" t="s">
        <v>55</v>
      </c>
      <c r="C16" s="10">
        <v>16387</v>
      </c>
      <c r="E16" s="10">
        <v>5600</v>
      </c>
    </row>
    <row r="17" spans="1:5" x14ac:dyDescent="0.25">
      <c r="A17" t="s">
        <v>41</v>
      </c>
      <c r="B17" t="s">
        <v>56</v>
      </c>
      <c r="C17" s="10">
        <v>197017</v>
      </c>
    </row>
    <row r="18" spans="1:5" x14ac:dyDescent="0.25">
      <c r="A18" t="s">
        <v>42</v>
      </c>
      <c r="B18" t="s">
        <v>57</v>
      </c>
      <c r="C18" s="10">
        <v>79450</v>
      </c>
    </row>
    <row r="19" spans="1:5" x14ac:dyDescent="0.25">
      <c r="A19" t="s">
        <v>43</v>
      </c>
      <c r="B19" t="s">
        <v>58</v>
      </c>
      <c r="C19" s="10">
        <v>1272</v>
      </c>
      <c r="E19" s="10">
        <v>3613</v>
      </c>
    </row>
    <row r="20" spans="1:5" x14ac:dyDescent="0.25">
      <c r="A20" t="s">
        <v>39</v>
      </c>
      <c r="B20" t="s">
        <v>59</v>
      </c>
      <c r="C20" s="10">
        <v>326197</v>
      </c>
    </row>
    <row r="21" spans="1:5" x14ac:dyDescent="0.25">
      <c r="A21" t="s">
        <v>40</v>
      </c>
      <c r="B21" t="s">
        <v>60</v>
      </c>
      <c r="C21" s="10">
        <v>49500</v>
      </c>
    </row>
    <row r="22" spans="1:5" x14ac:dyDescent="0.25">
      <c r="A22" t="s">
        <v>41</v>
      </c>
      <c r="B22" t="s">
        <v>61</v>
      </c>
      <c r="C22" s="10">
        <v>9081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10">
        <v>299860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F2B7-AE63-4116-8658-D557EA43A2F4}">
  <sheetPr>
    <tabColor rgb="FFFFC000"/>
  </sheetPr>
  <dimension ref="A1:E24"/>
  <sheetViews>
    <sheetView workbookViewId="0">
      <selection activeCell="A4" sqref="A4:E24"/>
    </sheetView>
  </sheetViews>
  <sheetFormatPr baseColWidth="10" defaultColWidth="9.140625" defaultRowHeight="15" x14ac:dyDescent="0.25"/>
  <cols>
    <col min="1" max="1" width="14.28515625" customWidth="1"/>
    <col min="2" max="2" width="17.85546875" customWidth="1"/>
    <col min="3" max="3" width="19.7109375" bestFit="1" customWidth="1"/>
    <col min="4" max="4" width="16.140625" bestFit="1" customWidth="1"/>
    <col min="5" max="5" width="18.42578125" bestFit="1" customWidth="1"/>
  </cols>
  <sheetData>
    <row r="1" spans="1:5" ht="20.25" x14ac:dyDescent="0.3">
      <c r="A1" s="4" t="s">
        <v>109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100</v>
      </c>
      <c r="E5">
        <v>235</v>
      </c>
    </row>
    <row r="6" spans="1:5" x14ac:dyDescent="0.25">
      <c r="A6" t="s">
        <v>40</v>
      </c>
      <c r="B6" t="s">
        <v>45</v>
      </c>
      <c r="C6">
        <v>2642</v>
      </c>
      <c r="E6" s="10">
        <v>1123</v>
      </c>
    </row>
    <row r="7" spans="1:5" x14ac:dyDescent="0.25">
      <c r="A7" t="s">
        <v>41</v>
      </c>
      <c r="B7" t="s">
        <v>46</v>
      </c>
      <c r="C7" s="10">
        <v>15000</v>
      </c>
      <c r="E7" s="10">
        <v>6375</v>
      </c>
    </row>
    <row r="8" spans="1:5" x14ac:dyDescent="0.25">
      <c r="A8" t="s">
        <v>42</v>
      </c>
      <c r="B8" t="s">
        <v>47</v>
      </c>
      <c r="C8" s="10">
        <v>642809</v>
      </c>
      <c r="E8" s="10">
        <v>32887</v>
      </c>
    </row>
    <row r="9" spans="1:5" x14ac:dyDescent="0.25">
      <c r="A9" t="s">
        <v>43</v>
      </c>
      <c r="B9" t="s">
        <v>48</v>
      </c>
      <c r="C9" s="10">
        <v>11177</v>
      </c>
      <c r="E9" s="10">
        <v>6355</v>
      </c>
    </row>
    <row r="10" spans="1:5" x14ac:dyDescent="0.25">
      <c r="A10" t="s">
        <v>39</v>
      </c>
      <c r="B10" t="s">
        <v>49</v>
      </c>
      <c r="C10" s="10">
        <v>547057</v>
      </c>
      <c r="D10">
        <v>901</v>
      </c>
      <c r="E10" s="10">
        <v>5986</v>
      </c>
    </row>
    <row r="11" spans="1:5" x14ac:dyDescent="0.25">
      <c r="A11" t="s">
        <v>40</v>
      </c>
      <c r="B11" t="s">
        <v>50</v>
      </c>
      <c r="C11" s="10">
        <v>303598</v>
      </c>
      <c r="D11" s="10">
        <v>2098</v>
      </c>
      <c r="E11">
        <v>483</v>
      </c>
    </row>
    <row r="12" spans="1:5" x14ac:dyDescent="0.25">
      <c r="A12" t="s">
        <v>41</v>
      </c>
      <c r="B12" t="s">
        <v>51</v>
      </c>
      <c r="C12" s="10">
        <v>906485</v>
      </c>
      <c r="D12" s="10">
        <v>1176</v>
      </c>
      <c r="E12">
        <v>674</v>
      </c>
    </row>
    <row r="13" spans="1:5" x14ac:dyDescent="0.25">
      <c r="A13" t="s">
        <v>42</v>
      </c>
      <c r="B13" t="s">
        <v>52</v>
      </c>
      <c r="C13" s="10">
        <v>15500</v>
      </c>
      <c r="D13" s="10">
        <v>2469</v>
      </c>
      <c r="E13" s="10">
        <v>5637</v>
      </c>
    </row>
    <row r="14" spans="1:5" x14ac:dyDescent="0.25">
      <c r="A14" t="s">
        <v>43</v>
      </c>
      <c r="B14" t="s">
        <v>53</v>
      </c>
      <c r="C14" s="10">
        <v>22755</v>
      </c>
      <c r="E14" s="10">
        <v>7050</v>
      </c>
    </row>
    <row r="15" spans="1:5" x14ac:dyDescent="0.25">
      <c r="A15" t="s">
        <v>39</v>
      </c>
      <c r="B15" t="s">
        <v>54</v>
      </c>
      <c r="C15" s="10">
        <v>17000</v>
      </c>
      <c r="E15" s="10">
        <v>7198</v>
      </c>
    </row>
    <row r="16" spans="1:5" x14ac:dyDescent="0.25">
      <c r="A16" t="s">
        <v>40</v>
      </c>
      <c r="B16" t="s">
        <v>55</v>
      </c>
      <c r="C16" s="10">
        <v>194880</v>
      </c>
      <c r="E16" s="10">
        <v>5500</v>
      </c>
    </row>
    <row r="17" spans="1:5" x14ac:dyDescent="0.25">
      <c r="A17" t="s">
        <v>41</v>
      </c>
      <c r="B17" t="s">
        <v>56</v>
      </c>
      <c r="C17" s="10">
        <v>68292</v>
      </c>
    </row>
    <row r="18" spans="1:5" x14ac:dyDescent="0.25">
      <c r="A18" t="s">
        <v>42</v>
      </c>
      <c r="B18" t="s">
        <v>57</v>
      </c>
      <c r="C18" s="10">
        <v>952</v>
      </c>
    </row>
    <row r="19" spans="1:5" x14ac:dyDescent="0.25">
      <c r="A19" t="s">
        <v>43</v>
      </c>
      <c r="B19" t="s">
        <v>58</v>
      </c>
      <c r="C19" s="10">
        <v>366508</v>
      </c>
      <c r="E19" s="10">
        <v>2120</v>
      </c>
    </row>
    <row r="20" spans="1:5" x14ac:dyDescent="0.25">
      <c r="A20" t="s">
        <v>39</v>
      </c>
      <c r="B20" t="s">
        <v>59</v>
      </c>
      <c r="C20" s="10">
        <v>726059</v>
      </c>
    </row>
    <row r="21" spans="1:5" x14ac:dyDescent="0.25">
      <c r="A21" t="s">
        <v>40</v>
      </c>
      <c r="B21" t="s">
        <v>60</v>
      </c>
      <c r="C21" s="10">
        <v>10893</v>
      </c>
    </row>
    <row r="22" spans="1:5" x14ac:dyDescent="0.25">
      <c r="A22" t="s">
        <v>41</v>
      </c>
      <c r="B22" t="s">
        <v>61</v>
      </c>
      <c r="C22" s="10">
        <v>1884</v>
      </c>
    </row>
    <row r="23" spans="1:5" x14ac:dyDescent="0.25">
      <c r="A23" t="s">
        <v>42</v>
      </c>
      <c r="B23" t="s">
        <v>62</v>
      </c>
      <c r="C23" s="10">
        <v>236243</v>
      </c>
    </row>
    <row r="24" spans="1:5" x14ac:dyDescent="0.25">
      <c r="A24" t="s">
        <v>43</v>
      </c>
      <c r="B24" t="s">
        <v>63</v>
      </c>
      <c r="C24" s="10">
        <v>299860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8A17-CB46-4A48-BEFE-3677231D7C0F}">
  <sheetPr>
    <tabColor theme="9" tint="-0.249977111117893"/>
  </sheetPr>
  <dimension ref="A1:E24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14.85546875" customWidth="1"/>
    <col min="2" max="2" width="19.42578125" customWidth="1"/>
    <col min="3" max="3" width="20.140625" customWidth="1"/>
    <col min="4" max="4" width="17.140625" customWidth="1"/>
    <col min="5" max="5" width="18.85546875" customWidth="1"/>
  </cols>
  <sheetData>
    <row r="1" spans="1:5" ht="20.25" x14ac:dyDescent="0.3">
      <c r="A1" s="4" t="s">
        <v>107</v>
      </c>
    </row>
    <row r="2" spans="1:5" ht="16.5" x14ac:dyDescent="0.3">
      <c r="A2" s="1" t="s">
        <v>108</v>
      </c>
    </row>
    <row r="4" spans="1:5" x14ac:dyDescent="0.25">
      <c r="A4" s="5" t="s">
        <v>37</v>
      </c>
      <c r="B4" s="5" t="s">
        <v>2</v>
      </c>
      <c r="C4" s="5" t="s">
        <v>38</v>
      </c>
      <c r="D4" t="s">
        <v>112</v>
      </c>
      <c r="E4" t="s">
        <v>113</v>
      </c>
    </row>
    <row r="5" spans="1:5" x14ac:dyDescent="0.25">
      <c r="A5" t="s">
        <v>39</v>
      </c>
      <c r="B5" t="s">
        <v>44</v>
      </c>
      <c r="C5">
        <v>100</v>
      </c>
      <c r="E5">
        <v>235</v>
      </c>
    </row>
    <row r="6" spans="1:5" x14ac:dyDescent="0.25">
      <c r="A6" t="s">
        <v>40</v>
      </c>
      <c r="B6" t="s">
        <v>45</v>
      </c>
      <c r="C6">
        <v>2642</v>
      </c>
      <c r="E6" s="10">
        <v>1123</v>
      </c>
    </row>
    <row r="7" spans="1:5" x14ac:dyDescent="0.25">
      <c r="A7" t="s">
        <v>41</v>
      </c>
      <c r="B7" t="s">
        <v>46</v>
      </c>
      <c r="C7" s="10">
        <v>15087</v>
      </c>
      <c r="E7" s="10">
        <v>6300</v>
      </c>
    </row>
    <row r="8" spans="1:5" x14ac:dyDescent="0.25">
      <c r="A8" t="s">
        <v>42</v>
      </c>
      <c r="B8" t="s">
        <v>47</v>
      </c>
      <c r="C8" s="10">
        <v>594660</v>
      </c>
      <c r="E8" s="10">
        <v>23748</v>
      </c>
    </row>
    <row r="9" spans="1:5" x14ac:dyDescent="0.25">
      <c r="A9" t="s">
        <v>43</v>
      </c>
      <c r="B9" t="s">
        <v>48</v>
      </c>
      <c r="C9" s="10">
        <v>9591</v>
      </c>
      <c r="E9" s="10">
        <v>7561</v>
      </c>
    </row>
    <row r="10" spans="1:5" x14ac:dyDescent="0.25">
      <c r="A10" t="s">
        <v>39</v>
      </c>
      <c r="B10" t="s">
        <v>49</v>
      </c>
      <c r="C10" s="10">
        <v>597915</v>
      </c>
      <c r="D10">
        <v>783</v>
      </c>
      <c r="E10" s="10">
        <v>5840</v>
      </c>
    </row>
    <row r="11" spans="1:5" x14ac:dyDescent="0.25">
      <c r="A11" t="s">
        <v>40</v>
      </c>
      <c r="B11" t="s">
        <v>50</v>
      </c>
      <c r="C11" s="10">
        <v>37818</v>
      </c>
      <c r="D11" s="10">
        <v>2098</v>
      </c>
      <c r="E11">
        <v>483</v>
      </c>
    </row>
    <row r="12" spans="1:5" x14ac:dyDescent="0.25">
      <c r="A12" t="s">
        <v>41</v>
      </c>
      <c r="B12" t="s">
        <v>51</v>
      </c>
      <c r="C12" s="10">
        <v>321596</v>
      </c>
      <c r="D12">
        <v>1080</v>
      </c>
      <c r="E12">
        <v>676</v>
      </c>
    </row>
    <row r="13" spans="1:5" x14ac:dyDescent="0.25">
      <c r="A13" t="s">
        <v>42</v>
      </c>
      <c r="B13" t="s">
        <v>52</v>
      </c>
      <c r="C13" s="10">
        <v>1017298</v>
      </c>
      <c r="D13">
        <v>1315</v>
      </c>
      <c r="E13" s="10">
        <v>5508</v>
      </c>
    </row>
    <row r="14" spans="1:5" x14ac:dyDescent="0.25">
      <c r="A14" t="s">
        <v>43</v>
      </c>
      <c r="B14" t="s">
        <v>53</v>
      </c>
      <c r="C14" s="10">
        <v>14937</v>
      </c>
      <c r="E14" s="10">
        <v>7050</v>
      </c>
    </row>
    <row r="15" spans="1:5" x14ac:dyDescent="0.25">
      <c r="A15" t="s">
        <v>39</v>
      </c>
      <c r="B15" t="s">
        <v>54</v>
      </c>
      <c r="C15" s="10">
        <v>14479</v>
      </c>
      <c r="E15" s="10">
        <v>7198</v>
      </c>
    </row>
    <row r="16" spans="1:5" x14ac:dyDescent="0.25">
      <c r="A16" t="s">
        <v>40</v>
      </c>
      <c r="B16" t="s">
        <v>55</v>
      </c>
      <c r="C16" s="10">
        <v>16387</v>
      </c>
      <c r="E16" s="10">
        <v>5600</v>
      </c>
    </row>
    <row r="17" spans="1:5" x14ac:dyDescent="0.25">
      <c r="A17" t="s">
        <v>41</v>
      </c>
      <c r="B17" t="s">
        <v>56</v>
      </c>
      <c r="C17" s="10">
        <v>197017</v>
      </c>
    </row>
    <row r="18" spans="1:5" x14ac:dyDescent="0.25">
      <c r="A18" t="s">
        <v>42</v>
      </c>
      <c r="B18" t="s">
        <v>57</v>
      </c>
      <c r="C18" s="10">
        <v>79450</v>
      </c>
    </row>
    <row r="19" spans="1:5" x14ac:dyDescent="0.25">
      <c r="A19" t="s">
        <v>43</v>
      </c>
      <c r="B19" t="s">
        <v>58</v>
      </c>
      <c r="C19" s="10">
        <v>1272</v>
      </c>
      <c r="E19" s="10">
        <v>3613</v>
      </c>
    </row>
    <row r="20" spans="1:5" x14ac:dyDescent="0.25">
      <c r="A20" t="s">
        <v>39</v>
      </c>
      <c r="B20" t="s">
        <v>59</v>
      </c>
      <c r="C20" s="10">
        <v>326197</v>
      </c>
    </row>
    <row r="21" spans="1:5" x14ac:dyDescent="0.25">
      <c r="A21" t="s">
        <v>40</v>
      </c>
      <c r="B21" t="s">
        <v>60</v>
      </c>
      <c r="C21" s="10">
        <v>49500</v>
      </c>
    </row>
    <row r="22" spans="1:5" x14ac:dyDescent="0.25">
      <c r="A22" t="s">
        <v>41</v>
      </c>
      <c r="B22" t="s">
        <v>61</v>
      </c>
      <c r="C22" s="10">
        <v>9081</v>
      </c>
    </row>
    <row r="23" spans="1:5" x14ac:dyDescent="0.25">
      <c r="A23" t="s">
        <v>42</v>
      </c>
      <c r="B23" t="s">
        <v>62</v>
      </c>
      <c r="C23">
        <v>1954</v>
      </c>
    </row>
    <row r="24" spans="1:5" x14ac:dyDescent="0.25">
      <c r="A24" t="s">
        <v>43</v>
      </c>
      <c r="B24" t="s">
        <v>63</v>
      </c>
      <c r="C24" s="10">
        <v>299860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E34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15.85546875" customWidth="1"/>
    <col min="2" max="2" width="45.28515625" customWidth="1"/>
    <col min="3" max="3" width="15" customWidth="1"/>
    <col min="4" max="4" width="59.5703125" customWidth="1"/>
    <col min="5" max="5" width="24.42578125" customWidth="1"/>
  </cols>
  <sheetData>
    <row r="1" spans="1:5" ht="20.25" x14ac:dyDescent="0.3">
      <c r="A1" s="4" t="s">
        <v>0</v>
      </c>
      <c r="B1" s="1"/>
      <c r="C1" s="1"/>
      <c r="D1" s="1"/>
      <c r="E1" s="1"/>
    </row>
    <row r="2" spans="1:5" ht="16.5" x14ac:dyDescent="0.3">
      <c r="A2" s="1" t="s">
        <v>36</v>
      </c>
      <c r="B2" s="1"/>
      <c r="C2" s="1"/>
      <c r="D2" s="1"/>
      <c r="E2" s="1"/>
    </row>
    <row r="3" spans="1:5" ht="16.5" x14ac:dyDescent="0.3">
      <c r="A3" s="1"/>
      <c r="B3" s="1"/>
      <c r="C3" s="1"/>
      <c r="D3" s="1"/>
      <c r="E3" s="1"/>
    </row>
    <row r="4" spans="1: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x14ac:dyDescent="0.3">
      <c r="A5" s="1">
        <v>1</v>
      </c>
      <c r="B5" s="1" t="s">
        <v>6</v>
      </c>
      <c r="C5" s="1">
        <v>1506420</v>
      </c>
      <c r="D5" s="3">
        <v>0.05</v>
      </c>
      <c r="E5" s="1">
        <v>128.81</v>
      </c>
    </row>
    <row r="6" spans="1:5" ht="16.5" x14ac:dyDescent="0.3">
      <c r="A6" s="1">
        <v>2</v>
      </c>
      <c r="B6" s="1" t="s">
        <v>7</v>
      </c>
      <c r="C6" s="1">
        <v>13941749</v>
      </c>
      <c r="D6" s="3">
        <v>0.05</v>
      </c>
      <c r="E6" s="1">
        <v>154.35</v>
      </c>
    </row>
    <row r="7" spans="1:5" ht="16.5" x14ac:dyDescent="0.3">
      <c r="A7" s="1">
        <v>3</v>
      </c>
      <c r="B7" s="1" t="s">
        <v>8</v>
      </c>
      <c r="C7" s="1">
        <v>10999726</v>
      </c>
      <c r="D7" s="3">
        <v>0.03</v>
      </c>
      <c r="E7" s="1">
        <v>816.29</v>
      </c>
    </row>
    <row r="8" spans="1:5" ht="16.5" x14ac:dyDescent="0.3">
      <c r="A8" s="1">
        <v>4</v>
      </c>
      <c r="B8" s="1" t="s">
        <v>9</v>
      </c>
      <c r="C8" s="1">
        <v>7742150</v>
      </c>
      <c r="D8" s="3">
        <v>0.03</v>
      </c>
      <c r="E8" s="1">
        <v>0.38</v>
      </c>
    </row>
    <row r="9" spans="1:5" ht="16.5" x14ac:dyDescent="0.3">
      <c r="A9" s="1">
        <v>5</v>
      </c>
      <c r="B9" s="1" t="s">
        <v>10</v>
      </c>
      <c r="C9" s="1">
        <v>7139072</v>
      </c>
      <c r="D9" s="3">
        <v>0.02</v>
      </c>
      <c r="E9" s="1">
        <v>0</v>
      </c>
    </row>
    <row r="10" spans="1:5" ht="16.5" x14ac:dyDescent="0.3">
      <c r="A10" s="1">
        <v>6</v>
      </c>
      <c r="B10" s="1" t="s">
        <v>11</v>
      </c>
      <c r="C10" s="1">
        <v>6942873</v>
      </c>
      <c r="D10" s="3">
        <v>0.02</v>
      </c>
      <c r="E10" s="1">
        <v>2337.21</v>
      </c>
    </row>
    <row r="11" spans="1:5" ht="16.5" x14ac:dyDescent="0.3">
      <c r="A11" s="1">
        <v>7</v>
      </c>
      <c r="B11" s="1" t="s">
        <v>12</v>
      </c>
      <c r="C11" s="1">
        <v>6021713</v>
      </c>
      <c r="D11" s="3">
        <v>0.02</v>
      </c>
      <c r="E11" s="1">
        <v>30.2</v>
      </c>
    </row>
    <row r="12" spans="1:5" ht="16.5" x14ac:dyDescent="0.3">
      <c r="A12" s="1">
        <v>8</v>
      </c>
      <c r="B12" s="1" t="s">
        <v>13</v>
      </c>
      <c r="C12" s="1">
        <v>5846474</v>
      </c>
      <c r="D12" s="3">
        <v>0.02</v>
      </c>
      <c r="E12" s="1">
        <v>81.7</v>
      </c>
    </row>
    <row r="13" spans="1:5" ht="16.5" x14ac:dyDescent="0.3">
      <c r="A13" s="1">
        <v>9</v>
      </c>
      <c r="B13" s="1" t="s">
        <v>14</v>
      </c>
      <c r="C13" s="1">
        <v>5066219</v>
      </c>
      <c r="D13" s="3">
        <v>0.02</v>
      </c>
      <c r="E13" s="1">
        <v>2432.67</v>
      </c>
    </row>
    <row r="14" spans="1:5" ht="16.5" x14ac:dyDescent="0.3">
      <c r="A14" s="1">
        <v>10</v>
      </c>
      <c r="B14" s="1" t="s">
        <v>15</v>
      </c>
      <c r="C14" s="1">
        <v>3756771</v>
      </c>
      <c r="D14" s="3">
        <v>0.02</v>
      </c>
      <c r="E14" s="1">
        <v>1877.55</v>
      </c>
    </row>
    <row r="15" spans="1:5" ht="16.5" x14ac:dyDescent="0.3">
      <c r="A15" s="1">
        <v>11</v>
      </c>
      <c r="B15" s="1" t="s">
        <v>16</v>
      </c>
      <c r="C15" s="1">
        <v>3477340</v>
      </c>
      <c r="D15" s="3">
        <v>0.02</v>
      </c>
      <c r="E15" s="1">
        <v>0</v>
      </c>
    </row>
    <row r="16" spans="1:5" ht="16.5" x14ac:dyDescent="0.3">
      <c r="A16" s="1">
        <v>12</v>
      </c>
      <c r="B16" s="1" t="s">
        <v>17</v>
      </c>
      <c r="C16" s="1">
        <v>3425760</v>
      </c>
      <c r="D16" s="3">
        <v>0.01</v>
      </c>
      <c r="E16" s="1">
        <v>68.14</v>
      </c>
    </row>
    <row r="17" spans="1:5" ht="16.5" x14ac:dyDescent="0.3">
      <c r="A17" s="1">
        <v>13</v>
      </c>
      <c r="B17" s="1" t="s">
        <v>18</v>
      </c>
      <c r="C17" s="1">
        <v>3230793</v>
      </c>
      <c r="D17" s="3">
        <v>0.01</v>
      </c>
      <c r="E17" s="1">
        <v>0</v>
      </c>
    </row>
    <row r="18" spans="1:5" ht="16.5" x14ac:dyDescent="0.3">
      <c r="A18" s="1">
        <v>14</v>
      </c>
      <c r="B18" s="1" t="s">
        <v>19</v>
      </c>
      <c r="C18" s="1">
        <v>2988813</v>
      </c>
      <c r="D18" s="3">
        <v>0.01</v>
      </c>
      <c r="E18" s="1">
        <v>0</v>
      </c>
    </row>
    <row r="19" spans="1:5" ht="16.5" x14ac:dyDescent="0.3">
      <c r="A19" s="1">
        <v>15</v>
      </c>
      <c r="B19" s="1" t="s">
        <v>20</v>
      </c>
      <c r="C19" s="1">
        <v>1948753</v>
      </c>
      <c r="D19" s="3">
        <v>0.01</v>
      </c>
      <c r="E19" s="1">
        <v>107.29</v>
      </c>
    </row>
    <row r="20" spans="1:5" ht="16.5" x14ac:dyDescent="0.3">
      <c r="A20" s="1">
        <v>16</v>
      </c>
      <c r="B20" s="1" t="s">
        <v>21</v>
      </c>
      <c r="C20" s="1">
        <v>1882642</v>
      </c>
      <c r="D20" s="3">
        <v>0.01</v>
      </c>
      <c r="E20" s="1">
        <v>1190.23</v>
      </c>
    </row>
    <row r="21" spans="1:5" ht="16.5" x14ac:dyDescent="0.3">
      <c r="A21" s="1">
        <v>17</v>
      </c>
      <c r="B21" s="1" t="s">
        <v>22</v>
      </c>
      <c r="C21" s="1">
        <v>4020288</v>
      </c>
      <c r="D21" s="3">
        <v>0.01</v>
      </c>
      <c r="E21" s="1">
        <v>3471</v>
      </c>
    </row>
    <row r="22" spans="1:5" ht="16.5" x14ac:dyDescent="0.3">
      <c r="A22" s="1">
        <v>18</v>
      </c>
      <c r="B22" s="1" t="s">
        <v>23</v>
      </c>
      <c r="C22" s="1">
        <v>4488268</v>
      </c>
      <c r="D22" s="3">
        <v>0.01</v>
      </c>
      <c r="E22" s="1">
        <v>229</v>
      </c>
    </row>
    <row r="23" spans="1:5" ht="16.5" x14ac:dyDescent="0.3">
      <c r="A23" s="1">
        <v>19</v>
      </c>
      <c r="B23" s="1" t="s">
        <v>24</v>
      </c>
      <c r="C23" s="1">
        <v>4670053</v>
      </c>
      <c r="D23" s="3">
        <v>0.01</v>
      </c>
      <c r="E23" s="1">
        <v>415</v>
      </c>
    </row>
    <row r="24" spans="1:5" ht="16.5" x14ac:dyDescent="0.3">
      <c r="A24" s="1">
        <v>20</v>
      </c>
      <c r="B24" s="1" t="s">
        <v>25</v>
      </c>
      <c r="C24" s="1">
        <v>3437286</v>
      </c>
      <c r="D24" s="3">
        <v>0.01</v>
      </c>
      <c r="E24" s="1">
        <v>76.099999999999994</v>
      </c>
    </row>
    <row r="25" spans="1:5" ht="16.5" x14ac:dyDescent="0.3">
      <c r="A25" s="1">
        <v>21</v>
      </c>
      <c r="B25" s="1" t="s">
        <v>26</v>
      </c>
      <c r="C25" s="1">
        <v>3245806</v>
      </c>
      <c r="D25" s="3">
        <v>0.01</v>
      </c>
      <c r="E25" s="1">
        <v>1442</v>
      </c>
    </row>
    <row r="26" spans="1:5" ht="16.5" x14ac:dyDescent="0.3">
      <c r="A26" s="1">
        <v>22</v>
      </c>
      <c r="B26" s="1" t="s">
        <v>27</v>
      </c>
      <c r="C26" s="1">
        <v>3405614</v>
      </c>
      <c r="D26" s="3">
        <v>0.01</v>
      </c>
      <c r="E26" s="1">
        <v>484</v>
      </c>
    </row>
    <row r="27" spans="1:5" ht="16.5" x14ac:dyDescent="0.3">
      <c r="A27" s="1">
        <v>23</v>
      </c>
      <c r="B27" s="1" t="s">
        <v>28</v>
      </c>
      <c r="C27" s="1">
        <v>3049839</v>
      </c>
      <c r="D27" s="3">
        <v>0.01</v>
      </c>
      <c r="E27" s="1">
        <v>1583</v>
      </c>
    </row>
    <row r="28" spans="1:5" ht="16.5" x14ac:dyDescent="0.3">
      <c r="A28" s="1">
        <v>24</v>
      </c>
      <c r="B28" s="1" t="s">
        <v>29</v>
      </c>
      <c r="C28" s="1">
        <v>2594904</v>
      </c>
      <c r="D28" s="3">
        <v>0.01</v>
      </c>
      <c r="E28" s="1">
        <v>56.2</v>
      </c>
    </row>
    <row r="29" spans="1:5" ht="16.5" x14ac:dyDescent="0.3">
      <c r="A29" s="1">
        <v>25</v>
      </c>
      <c r="B29" s="1" t="s">
        <v>30</v>
      </c>
      <c r="C29" s="1">
        <v>1659702</v>
      </c>
      <c r="D29" s="3">
        <v>0.01</v>
      </c>
      <c r="E29" s="1">
        <v>119</v>
      </c>
    </row>
    <row r="30" spans="1:5" ht="16.5" x14ac:dyDescent="0.3">
      <c r="A30" s="1">
        <v>26</v>
      </c>
      <c r="B30" s="1" t="s">
        <v>31</v>
      </c>
      <c r="C30" s="1">
        <v>733996</v>
      </c>
      <c r="D30" s="3">
        <v>0.01</v>
      </c>
      <c r="E30" s="1">
        <v>527.5</v>
      </c>
    </row>
    <row r="31" spans="1:5" ht="16.5" x14ac:dyDescent="0.3">
      <c r="A31" s="1">
        <v>27</v>
      </c>
      <c r="B31" s="1" t="s">
        <v>32</v>
      </c>
      <c r="C31" s="1">
        <v>1118300</v>
      </c>
      <c r="D31" s="3">
        <v>0.01</v>
      </c>
      <c r="E31" s="1">
        <v>2357</v>
      </c>
    </row>
    <row r="32" spans="1:5" ht="16.5" x14ac:dyDescent="0.3">
      <c r="A32" s="1">
        <v>28</v>
      </c>
      <c r="B32" s="1" t="s">
        <v>33</v>
      </c>
      <c r="C32" s="1">
        <v>1246053</v>
      </c>
      <c r="D32" s="3">
        <v>0.01</v>
      </c>
      <c r="E32" s="1">
        <v>631</v>
      </c>
    </row>
    <row r="33" spans="1:5" ht="16.5" x14ac:dyDescent="0.3">
      <c r="A33" s="1">
        <v>29</v>
      </c>
      <c r="B33" s="1" t="s">
        <v>34</v>
      </c>
      <c r="C33" s="1">
        <v>632110</v>
      </c>
      <c r="D33" s="3">
        <v>0.01</v>
      </c>
      <c r="E33" s="1">
        <v>722</v>
      </c>
    </row>
    <row r="34" spans="1:5" ht="16.5" x14ac:dyDescent="0.3">
      <c r="A34" s="1">
        <v>30</v>
      </c>
      <c r="B34" s="1" t="s">
        <v>35</v>
      </c>
      <c r="C34" s="1">
        <v>1501621</v>
      </c>
      <c r="D34" s="3">
        <v>0.01</v>
      </c>
      <c r="E34" s="1">
        <v>369</v>
      </c>
    </row>
  </sheetData>
  <conditionalFormatting sqref="A5:E34">
    <cfRule type="expression" dxfId="20" priority="1">
      <formula>$E5&gt;800</formula>
    </cfRule>
  </conditionalFormatting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271C-56CB-48FD-BA90-3E567E58B8EF}">
  <dimension ref="A1:N10"/>
  <sheetViews>
    <sheetView workbookViewId="0">
      <selection activeCell="J22" sqref="J21:J22"/>
    </sheetView>
  </sheetViews>
  <sheetFormatPr baseColWidth="10" defaultColWidth="9.140625" defaultRowHeight="15" x14ac:dyDescent="0.25"/>
  <cols>
    <col min="1" max="1" width="26.5703125" bestFit="1" customWidth="1"/>
    <col min="2" max="2" width="11.85546875" customWidth="1"/>
    <col min="3" max="3" width="12.85546875" customWidth="1"/>
    <col min="4" max="4" width="11.140625" customWidth="1"/>
    <col min="5" max="5" width="10.140625" customWidth="1"/>
    <col min="6" max="6" width="9.5703125" customWidth="1"/>
    <col min="7" max="7" width="10.7109375" customWidth="1"/>
    <col min="8" max="8" width="12.140625" customWidth="1"/>
    <col min="9" max="9" width="10.140625" customWidth="1"/>
    <col min="10" max="10" width="15" customWidth="1"/>
    <col min="11" max="11" width="12.85546875" customWidth="1"/>
    <col min="12" max="12" width="14.7109375" customWidth="1"/>
    <col min="13" max="13" width="14.5703125" customWidth="1"/>
    <col min="14" max="14" width="15.42578125" customWidth="1"/>
  </cols>
  <sheetData>
    <row r="1" spans="1:14" ht="18" x14ac:dyDescent="0.25">
      <c r="A1" s="11" t="s">
        <v>105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.75" thickBot="1" x14ac:dyDescent="0.3">
      <c r="A2" s="12" t="s">
        <v>106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x14ac:dyDescent="0.25">
      <c r="A4" t="s">
        <v>95</v>
      </c>
      <c r="B4" t="s">
        <v>73</v>
      </c>
      <c r="C4" t="s">
        <v>75</v>
      </c>
      <c r="D4" t="s">
        <v>76</v>
      </c>
      <c r="E4" t="s">
        <v>77</v>
      </c>
      <c r="F4" t="s">
        <v>79</v>
      </c>
      <c r="G4" t="s">
        <v>80</v>
      </c>
      <c r="H4" t="s">
        <v>81</v>
      </c>
      <c r="I4" t="s">
        <v>83</v>
      </c>
      <c r="J4" t="s">
        <v>84</v>
      </c>
      <c r="K4" t="s">
        <v>85</v>
      </c>
      <c r="L4" t="s">
        <v>96</v>
      </c>
      <c r="M4" t="s">
        <v>97</v>
      </c>
      <c r="N4" t="s">
        <v>98</v>
      </c>
    </row>
    <row r="5" spans="1:14" x14ac:dyDescent="0.25">
      <c r="A5" t="s">
        <v>99</v>
      </c>
      <c r="B5">
        <v>22</v>
      </c>
      <c r="C5">
        <v>10</v>
      </c>
      <c r="D5">
        <v>130</v>
      </c>
      <c r="E5">
        <v>218</v>
      </c>
      <c r="F5">
        <v>783</v>
      </c>
      <c r="G5">
        <v>522</v>
      </c>
      <c r="H5">
        <v>321</v>
      </c>
      <c r="I5">
        <v>304</v>
      </c>
      <c r="J5">
        <v>222</v>
      </c>
      <c r="K5">
        <v>56</v>
      </c>
      <c r="L5">
        <v>15</v>
      </c>
      <c r="N5">
        <f>SUM(Tableau2[[#This Row],[Janvier]:[Décembre]])</f>
        <v>2603</v>
      </c>
    </row>
    <row r="6" spans="1:14" x14ac:dyDescent="0.25">
      <c r="A6" t="s">
        <v>100</v>
      </c>
      <c r="B6">
        <v>32</v>
      </c>
      <c r="D6">
        <v>2787</v>
      </c>
      <c r="E6">
        <v>5038</v>
      </c>
      <c r="F6">
        <v>6925</v>
      </c>
      <c r="G6">
        <v>7327</v>
      </c>
      <c r="H6">
        <v>8725</v>
      </c>
      <c r="I6">
        <v>8181</v>
      </c>
      <c r="J6">
        <v>6235</v>
      </c>
      <c r="K6">
        <v>4840</v>
      </c>
      <c r="L6">
        <v>650</v>
      </c>
      <c r="M6">
        <v>950</v>
      </c>
      <c r="N6">
        <f>SUM(Tableau2[[#This Row],[Janvier]:[Décembre]])</f>
        <v>51690</v>
      </c>
    </row>
    <row r="7" spans="1:14" x14ac:dyDescent="0.25">
      <c r="A7" t="s">
        <v>101</v>
      </c>
      <c r="D7">
        <v>10</v>
      </c>
      <c r="E7">
        <v>50</v>
      </c>
      <c r="F7">
        <v>503</v>
      </c>
      <c r="G7">
        <v>267</v>
      </c>
      <c r="H7">
        <v>96</v>
      </c>
      <c r="I7">
        <v>128</v>
      </c>
      <c r="J7">
        <v>130</v>
      </c>
      <c r="K7">
        <v>82</v>
      </c>
      <c r="L7">
        <v>2</v>
      </c>
      <c r="N7">
        <f>SUM(Tableau2[[#This Row],[Janvier]:[Décembre]])</f>
        <v>1268</v>
      </c>
    </row>
    <row r="8" spans="1:14" x14ac:dyDescent="0.25">
      <c r="A8" t="s">
        <v>102</v>
      </c>
      <c r="B8">
        <v>158</v>
      </c>
      <c r="C8">
        <v>103</v>
      </c>
      <c r="D8">
        <v>566</v>
      </c>
      <c r="E8">
        <v>1942</v>
      </c>
      <c r="F8">
        <v>4968</v>
      </c>
      <c r="G8">
        <v>3822</v>
      </c>
      <c r="H8">
        <v>3165</v>
      </c>
      <c r="I8">
        <v>3894</v>
      </c>
      <c r="J8">
        <v>7224</v>
      </c>
      <c r="K8">
        <v>2851</v>
      </c>
      <c r="L8">
        <v>840</v>
      </c>
      <c r="M8">
        <v>86</v>
      </c>
      <c r="N8">
        <f>SUM(Tableau2[[#This Row],[Janvier]:[Décembre]])</f>
        <v>29619</v>
      </c>
    </row>
    <row r="9" spans="1:14" x14ac:dyDescent="0.25">
      <c r="A9" t="s">
        <v>103</v>
      </c>
      <c r="B9">
        <v>372</v>
      </c>
      <c r="C9">
        <v>324</v>
      </c>
      <c r="D9">
        <v>979</v>
      </c>
      <c r="E9">
        <v>2066</v>
      </c>
      <c r="F9">
        <v>6679</v>
      </c>
      <c r="G9">
        <v>8865</v>
      </c>
      <c r="H9">
        <v>8355</v>
      </c>
      <c r="I9">
        <v>8571</v>
      </c>
      <c r="J9">
        <v>9609</v>
      </c>
      <c r="K9">
        <v>2741</v>
      </c>
      <c r="L9">
        <v>1006</v>
      </c>
      <c r="M9">
        <v>180</v>
      </c>
      <c r="N9">
        <f>SUM(Tableau2[[#This Row],[Janvier]:[Décembre]])</f>
        <v>49747</v>
      </c>
    </row>
    <row r="10" spans="1:14" x14ac:dyDescent="0.25">
      <c r="A10" t="s">
        <v>104</v>
      </c>
      <c r="B10">
        <f>SUM(B5:B9)</f>
        <v>584</v>
      </c>
      <c r="C10">
        <f t="shared" ref="C10:M10" si="0">SUM(C5:C9)</f>
        <v>437</v>
      </c>
      <c r="D10">
        <f t="shared" si="0"/>
        <v>4472</v>
      </c>
      <c r="E10">
        <f t="shared" si="0"/>
        <v>9314</v>
      </c>
      <c r="F10">
        <f t="shared" si="0"/>
        <v>19858</v>
      </c>
      <c r="G10">
        <f t="shared" si="0"/>
        <v>20803</v>
      </c>
      <c r="H10">
        <f t="shared" si="0"/>
        <v>20662</v>
      </c>
      <c r="I10">
        <f t="shared" si="0"/>
        <v>21078</v>
      </c>
      <c r="J10">
        <f t="shared" si="0"/>
        <v>23420</v>
      </c>
      <c r="K10">
        <f t="shared" si="0"/>
        <v>10570</v>
      </c>
      <c r="L10">
        <f t="shared" si="0"/>
        <v>2513</v>
      </c>
      <c r="M10">
        <f t="shared" si="0"/>
        <v>1216</v>
      </c>
      <c r="N10">
        <f>SUM(Tableau2[[#This Row],[Janvier]:[Décembre]])</f>
        <v>134927</v>
      </c>
    </row>
  </sheetData>
  <mergeCells count="2">
    <mergeCell ref="A1:N1"/>
    <mergeCell ref="A2:N2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CD63-958E-40D4-A98A-0CD5305EF81A}">
  <dimension ref="A1:G51"/>
  <sheetViews>
    <sheetView workbookViewId="0">
      <selection activeCell="E17" sqref="E17"/>
    </sheetView>
  </sheetViews>
  <sheetFormatPr baseColWidth="10" defaultColWidth="9.140625" defaultRowHeight="15" x14ac:dyDescent="0.25"/>
  <cols>
    <col min="1" max="7" width="14.7109375" customWidth="1"/>
  </cols>
  <sheetData>
    <row r="1" spans="1:7" x14ac:dyDescent="0.25">
      <c r="A1" s="6" t="s">
        <v>66</v>
      </c>
      <c r="B1" s="6" t="s">
        <v>67</v>
      </c>
      <c r="C1" s="6" t="s">
        <v>37</v>
      </c>
      <c r="D1" s="6" t="s">
        <v>68</v>
      </c>
      <c r="E1" s="6" t="s">
        <v>69</v>
      </c>
      <c r="F1" s="6" t="s">
        <v>70</v>
      </c>
      <c r="G1" s="6" t="s">
        <v>71</v>
      </c>
    </row>
    <row r="2" spans="1:7" x14ac:dyDescent="0.25">
      <c r="A2" t="s">
        <v>44</v>
      </c>
      <c r="B2" t="s">
        <v>72</v>
      </c>
      <c r="C2" t="s">
        <v>42</v>
      </c>
      <c r="D2" t="s">
        <v>73</v>
      </c>
      <c r="E2" t="s">
        <v>74</v>
      </c>
      <c r="F2">
        <v>2016</v>
      </c>
      <c r="G2">
        <v>200</v>
      </c>
    </row>
    <row r="3" spans="1:7" x14ac:dyDescent="0.25">
      <c r="A3" t="s">
        <v>45</v>
      </c>
      <c r="B3" t="s">
        <v>87</v>
      </c>
      <c r="C3" t="s">
        <v>42</v>
      </c>
      <c r="D3" t="s">
        <v>75</v>
      </c>
      <c r="E3" t="s">
        <v>74</v>
      </c>
      <c r="F3">
        <v>2016</v>
      </c>
      <c r="G3">
        <v>207</v>
      </c>
    </row>
    <row r="4" spans="1:7" x14ac:dyDescent="0.25">
      <c r="A4" t="s">
        <v>46</v>
      </c>
      <c r="B4" t="s">
        <v>88</v>
      </c>
      <c r="C4" t="s">
        <v>42</v>
      </c>
      <c r="D4" t="s">
        <v>76</v>
      </c>
      <c r="E4" t="s">
        <v>74</v>
      </c>
      <c r="F4">
        <v>2016</v>
      </c>
      <c r="G4">
        <v>214</v>
      </c>
    </row>
    <row r="5" spans="1:7" x14ac:dyDescent="0.25">
      <c r="A5" t="s">
        <v>47</v>
      </c>
      <c r="B5" t="s">
        <v>89</v>
      </c>
      <c r="C5" t="s">
        <v>42</v>
      </c>
      <c r="D5" t="s">
        <v>77</v>
      </c>
      <c r="E5" t="s">
        <v>78</v>
      </c>
      <c r="F5">
        <v>2016</v>
      </c>
      <c r="G5">
        <v>221</v>
      </c>
    </row>
    <row r="6" spans="1:7" x14ac:dyDescent="0.25">
      <c r="A6" t="s">
        <v>48</v>
      </c>
      <c r="B6" t="s">
        <v>90</v>
      </c>
      <c r="C6" t="s">
        <v>39</v>
      </c>
      <c r="D6" t="s">
        <v>79</v>
      </c>
      <c r="E6" t="s">
        <v>78</v>
      </c>
      <c r="F6">
        <v>2016</v>
      </c>
      <c r="G6">
        <v>228</v>
      </c>
    </row>
    <row r="7" spans="1:7" x14ac:dyDescent="0.25">
      <c r="A7" t="s">
        <v>44</v>
      </c>
      <c r="B7" t="s">
        <v>72</v>
      </c>
      <c r="C7" t="s">
        <v>42</v>
      </c>
      <c r="D7" t="s">
        <v>80</v>
      </c>
      <c r="E7" t="s">
        <v>78</v>
      </c>
      <c r="F7">
        <v>2016</v>
      </c>
      <c r="G7">
        <v>235</v>
      </c>
    </row>
    <row r="8" spans="1:7" x14ac:dyDescent="0.25">
      <c r="A8" t="s">
        <v>45</v>
      </c>
      <c r="B8" t="s">
        <v>87</v>
      </c>
      <c r="C8" t="s">
        <v>42</v>
      </c>
      <c r="D8" t="s">
        <v>81</v>
      </c>
      <c r="E8" t="s">
        <v>82</v>
      </c>
      <c r="F8">
        <v>2016</v>
      </c>
      <c r="G8">
        <v>242</v>
      </c>
    </row>
    <row r="9" spans="1:7" x14ac:dyDescent="0.25">
      <c r="A9" t="s">
        <v>46</v>
      </c>
      <c r="B9" t="s">
        <v>88</v>
      </c>
      <c r="C9" t="s">
        <v>42</v>
      </c>
      <c r="D9" t="s">
        <v>83</v>
      </c>
      <c r="E9" t="s">
        <v>82</v>
      </c>
      <c r="F9">
        <v>2016</v>
      </c>
      <c r="G9">
        <v>249</v>
      </c>
    </row>
    <row r="10" spans="1:7" x14ac:dyDescent="0.25">
      <c r="A10" t="s">
        <v>47</v>
      </c>
      <c r="B10" t="s">
        <v>89</v>
      </c>
      <c r="C10" t="s">
        <v>42</v>
      </c>
      <c r="D10" t="s">
        <v>84</v>
      </c>
      <c r="E10" t="s">
        <v>82</v>
      </c>
      <c r="F10">
        <v>2016</v>
      </c>
      <c r="G10">
        <v>256</v>
      </c>
    </row>
    <row r="11" spans="1:7" x14ac:dyDescent="0.25">
      <c r="A11" t="s">
        <v>48</v>
      </c>
      <c r="B11" t="s">
        <v>90</v>
      </c>
      <c r="C11" t="s">
        <v>39</v>
      </c>
      <c r="D11" t="s">
        <v>85</v>
      </c>
      <c r="E11" t="s">
        <v>86</v>
      </c>
      <c r="F11">
        <v>2016</v>
      </c>
      <c r="G11">
        <v>263</v>
      </c>
    </row>
    <row r="12" spans="1:7" x14ac:dyDescent="0.25">
      <c r="A12" t="s">
        <v>44</v>
      </c>
      <c r="B12" t="s">
        <v>72</v>
      </c>
      <c r="C12" t="s">
        <v>42</v>
      </c>
      <c r="D12" t="s">
        <v>73</v>
      </c>
      <c r="E12" t="s">
        <v>74</v>
      </c>
      <c r="F12">
        <v>2016</v>
      </c>
      <c r="G12">
        <v>270</v>
      </c>
    </row>
    <row r="13" spans="1:7" x14ac:dyDescent="0.25">
      <c r="A13" t="s">
        <v>45</v>
      </c>
      <c r="B13" t="s">
        <v>87</v>
      </c>
      <c r="C13" t="s">
        <v>42</v>
      </c>
      <c r="D13" t="s">
        <v>75</v>
      </c>
      <c r="E13" t="s">
        <v>74</v>
      </c>
      <c r="F13">
        <v>2016</v>
      </c>
      <c r="G13">
        <v>277</v>
      </c>
    </row>
    <row r="14" spans="1:7" x14ac:dyDescent="0.25">
      <c r="A14" t="s">
        <v>46</v>
      </c>
      <c r="B14" t="s">
        <v>88</v>
      </c>
      <c r="C14" t="s">
        <v>42</v>
      </c>
      <c r="D14" t="s">
        <v>76</v>
      </c>
      <c r="E14" t="s">
        <v>74</v>
      </c>
      <c r="F14">
        <v>2016</v>
      </c>
      <c r="G14">
        <v>284</v>
      </c>
    </row>
    <row r="15" spans="1:7" x14ac:dyDescent="0.25">
      <c r="A15" t="s">
        <v>47</v>
      </c>
      <c r="B15" t="s">
        <v>89</v>
      </c>
      <c r="C15" t="s">
        <v>42</v>
      </c>
      <c r="D15" t="s">
        <v>77</v>
      </c>
      <c r="E15" t="s">
        <v>78</v>
      </c>
      <c r="F15">
        <v>2016</v>
      </c>
      <c r="G15">
        <v>291</v>
      </c>
    </row>
    <row r="16" spans="1:7" x14ac:dyDescent="0.25">
      <c r="A16" t="s">
        <v>48</v>
      </c>
      <c r="B16" t="s">
        <v>90</v>
      </c>
      <c r="C16" t="s">
        <v>39</v>
      </c>
      <c r="D16" t="s">
        <v>79</v>
      </c>
      <c r="E16" t="s">
        <v>78</v>
      </c>
      <c r="F16">
        <v>2017</v>
      </c>
      <c r="G16">
        <v>298</v>
      </c>
    </row>
    <row r="17" spans="1:7" x14ac:dyDescent="0.25">
      <c r="A17" t="s">
        <v>44</v>
      </c>
      <c r="B17" t="s">
        <v>72</v>
      </c>
      <c r="C17" t="s">
        <v>42</v>
      </c>
      <c r="D17" t="s">
        <v>80</v>
      </c>
      <c r="E17" t="s">
        <v>78</v>
      </c>
      <c r="F17">
        <v>2017</v>
      </c>
      <c r="G17">
        <v>305</v>
      </c>
    </row>
    <row r="18" spans="1:7" x14ac:dyDescent="0.25">
      <c r="A18" t="s">
        <v>45</v>
      </c>
      <c r="B18" t="s">
        <v>87</v>
      </c>
      <c r="C18" t="s">
        <v>42</v>
      </c>
      <c r="D18" t="s">
        <v>81</v>
      </c>
      <c r="E18" t="s">
        <v>82</v>
      </c>
      <c r="F18">
        <v>2017</v>
      </c>
      <c r="G18">
        <v>312</v>
      </c>
    </row>
    <row r="19" spans="1:7" x14ac:dyDescent="0.25">
      <c r="A19" t="s">
        <v>46</v>
      </c>
      <c r="B19" t="s">
        <v>88</v>
      </c>
      <c r="C19" t="s">
        <v>42</v>
      </c>
      <c r="D19" t="s">
        <v>83</v>
      </c>
      <c r="E19" t="s">
        <v>82</v>
      </c>
      <c r="F19">
        <v>2017</v>
      </c>
      <c r="G19">
        <v>319</v>
      </c>
    </row>
    <row r="20" spans="1:7" x14ac:dyDescent="0.25">
      <c r="A20" t="s">
        <v>47</v>
      </c>
      <c r="B20" t="s">
        <v>89</v>
      </c>
      <c r="C20" t="s">
        <v>42</v>
      </c>
      <c r="D20" t="s">
        <v>84</v>
      </c>
      <c r="E20" t="s">
        <v>82</v>
      </c>
      <c r="F20">
        <v>2017</v>
      </c>
      <c r="G20">
        <v>326</v>
      </c>
    </row>
    <row r="21" spans="1:7" x14ac:dyDescent="0.25">
      <c r="A21" t="s">
        <v>48</v>
      </c>
      <c r="B21" t="s">
        <v>90</v>
      </c>
      <c r="C21" t="s">
        <v>39</v>
      </c>
      <c r="D21" t="s">
        <v>85</v>
      </c>
      <c r="E21" t="s">
        <v>86</v>
      </c>
      <c r="F21">
        <v>2017</v>
      </c>
      <c r="G21">
        <v>333</v>
      </c>
    </row>
    <row r="22" spans="1:7" x14ac:dyDescent="0.25">
      <c r="A22" t="s">
        <v>44</v>
      </c>
      <c r="B22" t="s">
        <v>72</v>
      </c>
      <c r="C22" t="s">
        <v>42</v>
      </c>
      <c r="D22" t="s">
        <v>73</v>
      </c>
      <c r="E22" t="s">
        <v>74</v>
      </c>
      <c r="F22">
        <v>2017</v>
      </c>
      <c r="G22">
        <v>340</v>
      </c>
    </row>
    <row r="23" spans="1:7" x14ac:dyDescent="0.25">
      <c r="A23" t="s">
        <v>45</v>
      </c>
      <c r="B23" t="s">
        <v>87</v>
      </c>
      <c r="C23" t="s">
        <v>42</v>
      </c>
      <c r="D23" t="s">
        <v>75</v>
      </c>
      <c r="E23" t="s">
        <v>74</v>
      </c>
      <c r="F23">
        <v>2017</v>
      </c>
      <c r="G23">
        <v>347</v>
      </c>
    </row>
    <row r="24" spans="1:7" x14ac:dyDescent="0.25">
      <c r="A24" t="s">
        <v>46</v>
      </c>
      <c r="B24" t="s">
        <v>88</v>
      </c>
      <c r="C24" t="s">
        <v>42</v>
      </c>
      <c r="D24" t="s">
        <v>76</v>
      </c>
      <c r="E24" t="s">
        <v>74</v>
      </c>
      <c r="F24">
        <v>2017</v>
      </c>
      <c r="G24">
        <v>354</v>
      </c>
    </row>
    <row r="25" spans="1:7" x14ac:dyDescent="0.25">
      <c r="A25" t="s">
        <v>47</v>
      </c>
      <c r="B25" t="s">
        <v>89</v>
      </c>
      <c r="C25" t="s">
        <v>42</v>
      </c>
      <c r="D25" t="s">
        <v>77</v>
      </c>
      <c r="E25" t="s">
        <v>78</v>
      </c>
      <c r="F25">
        <v>2017</v>
      </c>
      <c r="G25">
        <v>361</v>
      </c>
    </row>
    <row r="26" spans="1:7" x14ac:dyDescent="0.25">
      <c r="A26" t="s">
        <v>48</v>
      </c>
      <c r="B26" t="s">
        <v>90</v>
      </c>
      <c r="C26" t="s">
        <v>39</v>
      </c>
      <c r="D26" t="s">
        <v>79</v>
      </c>
      <c r="E26" t="s">
        <v>78</v>
      </c>
      <c r="F26">
        <v>2017</v>
      </c>
      <c r="G26">
        <v>368</v>
      </c>
    </row>
    <row r="27" spans="1:7" x14ac:dyDescent="0.25">
      <c r="A27" t="s">
        <v>44</v>
      </c>
      <c r="B27" t="s">
        <v>72</v>
      </c>
      <c r="C27" t="s">
        <v>42</v>
      </c>
      <c r="D27" t="s">
        <v>80</v>
      </c>
      <c r="E27" t="s">
        <v>78</v>
      </c>
      <c r="F27">
        <v>2017</v>
      </c>
      <c r="G27">
        <v>375</v>
      </c>
    </row>
    <row r="28" spans="1:7" x14ac:dyDescent="0.25">
      <c r="A28" t="s">
        <v>45</v>
      </c>
      <c r="B28" t="s">
        <v>87</v>
      </c>
      <c r="C28" t="s">
        <v>42</v>
      </c>
      <c r="D28" t="s">
        <v>81</v>
      </c>
      <c r="E28" t="s">
        <v>82</v>
      </c>
      <c r="F28">
        <v>2017</v>
      </c>
      <c r="G28">
        <v>382</v>
      </c>
    </row>
    <row r="29" spans="1:7" x14ac:dyDescent="0.25">
      <c r="A29" t="s">
        <v>46</v>
      </c>
      <c r="B29" t="s">
        <v>88</v>
      </c>
      <c r="C29" t="s">
        <v>42</v>
      </c>
      <c r="D29" t="s">
        <v>83</v>
      </c>
      <c r="E29" t="s">
        <v>82</v>
      </c>
      <c r="F29">
        <v>2017</v>
      </c>
      <c r="G29">
        <v>389</v>
      </c>
    </row>
    <row r="30" spans="1:7" x14ac:dyDescent="0.25">
      <c r="A30" t="s">
        <v>47</v>
      </c>
      <c r="B30" t="s">
        <v>89</v>
      </c>
      <c r="C30" t="s">
        <v>42</v>
      </c>
      <c r="D30" t="s">
        <v>84</v>
      </c>
      <c r="E30" t="s">
        <v>82</v>
      </c>
      <c r="F30">
        <v>2017</v>
      </c>
      <c r="G30">
        <v>396</v>
      </c>
    </row>
    <row r="31" spans="1:7" x14ac:dyDescent="0.25">
      <c r="A31" t="s">
        <v>48</v>
      </c>
      <c r="B31" t="s">
        <v>90</v>
      </c>
      <c r="C31" t="s">
        <v>39</v>
      </c>
      <c r="D31" t="s">
        <v>85</v>
      </c>
      <c r="E31" t="s">
        <v>86</v>
      </c>
      <c r="F31">
        <v>2017</v>
      </c>
      <c r="G31">
        <v>403</v>
      </c>
    </row>
    <row r="32" spans="1:7" x14ac:dyDescent="0.25">
      <c r="A32" t="s">
        <v>44</v>
      </c>
      <c r="B32" t="s">
        <v>72</v>
      </c>
      <c r="C32" t="s">
        <v>42</v>
      </c>
      <c r="D32" t="s">
        <v>73</v>
      </c>
      <c r="E32" t="s">
        <v>74</v>
      </c>
      <c r="F32">
        <v>2017</v>
      </c>
      <c r="G32">
        <v>410</v>
      </c>
    </row>
    <row r="33" spans="1:7" x14ac:dyDescent="0.25">
      <c r="A33" t="s">
        <v>45</v>
      </c>
      <c r="B33" t="s">
        <v>87</v>
      </c>
      <c r="C33" t="s">
        <v>42</v>
      </c>
      <c r="D33" t="s">
        <v>75</v>
      </c>
      <c r="E33" t="s">
        <v>74</v>
      </c>
      <c r="F33">
        <v>2017</v>
      </c>
      <c r="G33">
        <v>417</v>
      </c>
    </row>
    <row r="34" spans="1:7" x14ac:dyDescent="0.25">
      <c r="A34" t="s">
        <v>46</v>
      </c>
      <c r="B34" t="s">
        <v>88</v>
      </c>
      <c r="C34" t="s">
        <v>42</v>
      </c>
      <c r="D34" t="s">
        <v>76</v>
      </c>
      <c r="E34" t="s">
        <v>74</v>
      </c>
      <c r="F34">
        <v>2018</v>
      </c>
      <c r="G34">
        <v>424</v>
      </c>
    </row>
    <row r="35" spans="1:7" x14ac:dyDescent="0.25">
      <c r="A35" t="s">
        <v>47</v>
      </c>
      <c r="B35" t="s">
        <v>89</v>
      </c>
      <c r="C35" t="s">
        <v>42</v>
      </c>
      <c r="D35" t="s">
        <v>77</v>
      </c>
      <c r="E35" t="s">
        <v>78</v>
      </c>
      <c r="F35">
        <v>2018</v>
      </c>
      <c r="G35">
        <v>431</v>
      </c>
    </row>
    <row r="36" spans="1:7" x14ac:dyDescent="0.25">
      <c r="A36" t="s">
        <v>48</v>
      </c>
      <c r="B36" t="s">
        <v>90</v>
      </c>
      <c r="C36" t="s">
        <v>39</v>
      </c>
      <c r="D36" t="s">
        <v>79</v>
      </c>
      <c r="E36" t="s">
        <v>78</v>
      </c>
      <c r="F36">
        <v>2018</v>
      </c>
      <c r="G36">
        <v>438</v>
      </c>
    </row>
    <row r="37" spans="1:7" x14ac:dyDescent="0.25">
      <c r="A37" t="s">
        <v>44</v>
      </c>
      <c r="B37" t="s">
        <v>72</v>
      </c>
      <c r="C37" t="s">
        <v>42</v>
      </c>
      <c r="D37" t="s">
        <v>80</v>
      </c>
      <c r="E37" t="s">
        <v>78</v>
      </c>
      <c r="F37">
        <v>2018</v>
      </c>
      <c r="G37">
        <v>445</v>
      </c>
    </row>
    <row r="38" spans="1:7" x14ac:dyDescent="0.25">
      <c r="A38" t="s">
        <v>45</v>
      </c>
      <c r="B38" t="s">
        <v>87</v>
      </c>
      <c r="C38" t="s">
        <v>42</v>
      </c>
      <c r="D38" t="s">
        <v>81</v>
      </c>
      <c r="E38" t="s">
        <v>82</v>
      </c>
      <c r="F38">
        <v>2018</v>
      </c>
      <c r="G38">
        <v>452</v>
      </c>
    </row>
    <row r="39" spans="1:7" x14ac:dyDescent="0.25">
      <c r="A39" t="s">
        <v>46</v>
      </c>
      <c r="B39" t="s">
        <v>88</v>
      </c>
      <c r="C39" t="s">
        <v>42</v>
      </c>
      <c r="D39" t="s">
        <v>83</v>
      </c>
      <c r="E39" t="s">
        <v>82</v>
      </c>
      <c r="F39">
        <v>2018</v>
      </c>
      <c r="G39">
        <v>459</v>
      </c>
    </row>
    <row r="40" spans="1:7" x14ac:dyDescent="0.25">
      <c r="A40" t="s">
        <v>47</v>
      </c>
      <c r="B40" t="s">
        <v>89</v>
      </c>
      <c r="C40" t="s">
        <v>42</v>
      </c>
      <c r="D40" t="s">
        <v>84</v>
      </c>
      <c r="E40" t="s">
        <v>82</v>
      </c>
      <c r="F40">
        <v>2018</v>
      </c>
      <c r="G40">
        <v>466</v>
      </c>
    </row>
    <row r="41" spans="1:7" x14ac:dyDescent="0.25">
      <c r="A41" t="s">
        <v>48</v>
      </c>
      <c r="B41" t="s">
        <v>90</v>
      </c>
      <c r="C41" t="s">
        <v>39</v>
      </c>
      <c r="D41" t="s">
        <v>85</v>
      </c>
      <c r="E41" t="s">
        <v>86</v>
      </c>
      <c r="F41">
        <v>2018</v>
      </c>
      <c r="G41">
        <v>473</v>
      </c>
    </row>
    <row r="42" spans="1:7" x14ac:dyDescent="0.25">
      <c r="A42" t="s">
        <v>44</v>
      </c>
      <c r="B42" t="s">
        <v>72</v>
      </c>
      <c r="C42" t="s">
        <v>42</v>
      </c>
      <c r="D42" t="s">
        <v>73</v>
      </c>
      <c r="E42" t="s">
        <v>74</v>
      </c>
      <c r="F42">
        <v>2018</v>
      </c>
      <c r="G42">
        <v>480</v>
      </c>
    </row>
    <row r="43" spans="1:7" x14ac:dyDescent="0.25">
      <c r="A43" t="s">
        <v>45</v>
      </c>
      <c r="B43" t="s">
        <v>87</v>
      </c>
      <c r="C43" t="s">
        <v>42</v>
      </c>
      <c r="D43" t="s">
        <v>75</v>
      </c>
      <c r="E43" t="s">
        <v>74</v>
      </c>
      <c r="F43">
        <v>2018</v>
      </c>
      <c r="G43">
        <v>487</v>
      </c>
    </row>
    <row r="44" spans="1:7" x14ac:dyDescent="0.25">
      <c r="A44" t="s">
        <v>46</v>
      </c>
      <c r="B44" t="s">
        <v>88</v>
      </c>
      <c r="C44" t="s">
        <v>42</v>
      </c>
      <c r="D44" t="s">
        <v>76</v>
      </c>
      <c r="E44" t="s">
        <v>74</v>
      </c>
      <c r="F44">
        <v>2018</v>
      </c>
      <c r="G44">
        <v>494</v>
      </c>
    </row>
    <row r="45" spans="1:7" x14ac:dyDescent="0.25">
      <c r="A45" t="s">
        <v>47</v>
      </c>
      <c r="B45" t="s">
        <v>89</v>
      </c>
      <c r="C45" t="s">
        <v>42</v>
      </c>
      <c r="D45" t="s">
        <v>77</v>
      </c>
      <c r="E45" t="s">
        <v>78</v>
      </c>
      <c r="F45">
        <v>2018</v>
      </c>
      <c r="G45">
        <v>501</v>
      </c>
    </row>
    <row r="46" spans="1:7" x14ac:dyDescent="0.25">
      <c r="A46" t="s">
        <v>48</v>
      </c>
      <c r="B46" t="s">
        <v>90</v>
      </c>
      <c r="C46" t="s">
        <v>39</v>
      </c>
      <c r="D46" t="s">
        <v>79</v>
      </c>
      <c r="E46" t="s">
        <v>78</v>
      </c>
      <c r="F46">
        <v>2018</v>
      </c>
      <c r="G46">
        <v>508</v>
      </c>
    </row>
    <row r="47" spans="1:7" x14ac:dyDescent="0.25">
      <c r="A47" t="s">
        <v>44</v>
      </c>
      <c r="B47" t="s">
        <v>72</v>
      </c>
      <c r="C47" t="s">
        <v>42</v>
      </c>
      <c r="D47" t="s">
        <v>80</v>
      </c>
      <c r="E47" t="s">
        <v>78</v>
      </c>
      <c r="F47">
        <v>2018</v>
      </c>
      <c r="G47">
        <v>515</v>
      </c>
    </row>
    <row r="48" spans="1:7" x14ac:dyDescent="0.25">
      <c r="A48" t="s">
        <v>45</v>
      </c>
      <c r="B48" t="s">
        <v>87</v>
      </c>
      <c r="C48" t="s">
        <v>42</v>
      </c>
      <c r="D48" t="s">
        <v>81</v>
      </c>
      <c r="E48" t="s">
        <v>82</v>
      </c>
      <c r="F48">
        <v>2018</v>
      </c>
      <c r="G48">
        <v>522</v>
      </c>
    </row>
    <row r="49" spans="1:7" x14ac:dyDescent="0.25">
      <c r="A49" t="s">
        <v>46</v>
      </c>
      <c r="B49" t="s">
        <v>88</v>
      </c>
      <c r="C49" t="s">
        <v>42</v>
      </c>
      <c r="D49" t="s">
        <v>83</v>
      </c>
      <c r="E49" t="s">
        <v>82</v>
      </c>
      <c r="F49">
        <v>2018</v>
      </c>
      <c r="G49">
        <v>529</v>
      </c>
    </row>
    <row r="50" spans="1:7" x14ac:dyDescent="0.25">
      <c r="A50" t="s">
        <v>47</v>
      </c>
      <c r="B50" t="s">
        <v>89</v>
      </c>
      <c r="C50" t="s">
        <v>42</v>
      </c>
      <c r="D50" t="s">
        <v>84</v>
      </c>
      <c r="E50" t="s">
        <v>82</v>
      </c>
      <c r="F50">
        <v>2018</v>
      </c>
      <c r="G50">
        <v>536</v>
      </c>
    </row>
    <row r="51" spans="1:7" x14ac:dyDescent="0.25">
      <c r="A51" t="s">
        <v>48</v>
      </c>
      <c r="B51" t="s">
        <v>90</v>
      </c>
      <c r="C51" t="s">
        <v>39</v>
      </c>
      <c r="D51" t="s">
        <v>85</v>
      </c>
      <c r="E51" t="s">
        <v>86</v>
      </c>
      <c r="F51">
        <v>2018</v>
      </c>
      <c r="G51">
        <v>543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AE1A-D9D3-48F5-92BD-36A74215AF49}">
  <dimension ref="A1:B8"/>
  <sheetViews>
    <sheetView showGridLines="0" topLeftCell="A9" workbookViewId="0">
      <selection activeCell="A34" sqref="A34"/>
    </sheetView>
  </sheetViews>
  <sheetFormatPr baseColWidth="10" defaultRowHeight="15" x14ac:dyDescent="0.25"/>
  <cols>
    <col min="1" max="1" width="21" style="7" bestFit="1" customWidth="1"/>
    <col min="2" max="2" width="31.7109375" style="7" bestFit="1" customWidth="1"/>
    <col min="3" max="4" width="5" style="7" bestFit="1" customWidth="1"/>
    <col min="5" max="5" width="12.5703125" style="7" bestFit="1" customWidth="1"/>
    <col min="6" max="16384" width="11.42578125" style="7"/>
  </cols>
  <sheetData>
    <row r="1" spans="1:2" hidden="1" x14ac:dyDescent="0.25">
      <c r="A1" s="7" t="s">
        <v>66</v>
      </c>
      <c r="B1" s="7" t="s">
        <v>92</v>
      </c>
    </row>
    <row r="2" spans="1:2" hidden="1" x14ac:dyDescent="0.25">
      <c r="A2" s="7" t="s">
        <v>67</v>
      </c>
      <c r="B2" s="7" t="s">
        <v>92</v>
      </c>
    </row>
    <row r="3" spans="1:2" hidden="1" x14ac:dyDescent="0.25"/>
    <row r="4" spans="1:2" hidden="1" x14ac:dyDescent="0.25">
      <c r="A4" s="7" t="s">
        <v>93</v>
      </c>
      <c r="B4" s="7" t="s">
        <v>91</v>
      </c>
    </row>
    <row r="5" spans="1:2" hidden="1" x14ac:dyDescent="0.25">
      <c r="A5" s="8">
        <v>2016</v>
      </c>
      <c r="B5" s="9">
        <v>3437</v>
      </c>
    </row>
    <row r="6" spans="1:2" hidden="1" x14ac:dyDescent="0.25">
      <c r="A6" s="8">
        <v>2017</v>
      </c>
      <c r="B6" s="9">
        <v>6435</v>
      </c>
    </row>
    <row r="7" spans="1:2" hidden="1" x14ac:dyDescent="0.25">
      <c r="A7" s="8">
        <v>2018</v>
      </c>
      <c r="B7" s="9">
        <v>8703</v>
      </c>
    </row>
    <row r="8" spans="1:2" hidden="1" x14ac:dyDescent="0.25">
      <c r="A8" s="8" t="s">
        <v>94</v>
      </c>
      <c r="B8" s="9">
        <v>18575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Résumé</vt:lpstr>
      <vt:lpstr>2014 par région</vt:lpstr>
      <vt:lpstr>2015 par région</vt:lpstr>
      <vt:lpstr>2016 par région</vt:lpstr>
      <vt:lpstr>2017 par région</vt:lpstr>
      <vt:lpstr>2018 par région</vt:lpstr>
      <vt:lpstr>2019 Visiteurs</vt:lpstr>
      <vt:lpstr>Nuitées</vt:lpstr>
      <vt:lpstr>Heures des volontaires</vt:lpstr>
      <vt:lpstr>Analyse des volontairess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2026-07-22T01:55:51Z</dcterms:created>
  <dcterms:modified xsi:type="dcterms:W3CDTF">2026-07-23T16:03:51Z</dcterms:modified>
  <cp:category/>
  <cp:contentStatus/>
</cp:coreProperties>
</file>
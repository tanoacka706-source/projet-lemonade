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Book\3D Objects\MOS EXCEL EXPERT 2019\Test Blanc 2\"/>
    </mc:Choice>
  </mc:AlternateContent>
  <xr:revisionPtr revIDLastSave="0" documentId="13_ncr:1_{FF269462-B402-473F-AA01-641142EE55E2}" xr6:coauthVersionLast="47" xr6:coauthVersionMax="47" xr10:uidLastSave="{00000000-0000-0000-0000-000000000000}"/>
  <bookViews>
    <workbookView xWindow="-120" yWindow="-120" windowWidth="21840" windowHeight="13140" activeTab="1" xr2:uid="{46B1923A-F903-4898-AF5C-27066B3DA942}"/>
  </bookViews>
  <sheets>
    <sheet name="Facture " sheetId="1" r:id="rId1"/>
    <sheet name="Factures " sheetId="6" r:id="rId2"/>
    <sheet name="Type factures " sheetId="2" r:id="rId3"/>
    <sheet name="Location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D8" i="6" s="1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" i="6"/>
  <c r="D4" i="6" s="1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" i="1"/>
  <c r="H4" i="1" s="1"/>
</calcChain>
</file>

<file path=xl/sharedStrings.xml><?xml version="1.0" encoding="utf-8"?>
<sst xmlns="http://schemas.openxmlformats.org/spreadsheetml/2006/main" count="228" uniqueCount="109">
  <si>
    <t>ID Facture</t>
  </si>
  <si>
    <t>Date</t>
  </si>
  <si>
    <t>Client</t>
  </si>
  <si>
    <t>Type de moteur</t>
  </si>
  <si>
    <t>Type de facture</t>
  </si>
  <si>
    <t>Facture Totale</t>
  </si>
  <si>
    <t>Total TTC</t>
  </si>
  <si>
    <t>F001</t>
  </si>
  <si>
    <t>Alpha SARL</t>
  </si>
  <si>
    <t>Diesel</t>
  </si>
  <si>
    <t>Maintenance</t>
  </si>
  <si>
    <t>F002</t>
  </si>
  <si>
    <t>Beta SA</t>
  </si>
  <si>
    <t>Essence</t>
  </si>
  <si>
    <t>Accident</t>
  </si>
  <si>
    <t>F003</t>
  </si>
  <si>
    <t>Gamma CI</t>
  </si>
  <si>
    <t>F004</t>
  </si>
  <si>
    <t>Delta SARL</t>
  </si>
  <si>
    <t>F005</t>
  </si>
  <si>
    <t>Omega SARL</t>
  </si>
  <si>
    <t>Hybride</t>
  </si>
  <si>
    <t>F006</t>
  </si>
  <si>
    <t>Sigma SA</t>
  </si>
  <si>
    <t>F007</t>
  </si>
  <si>
    <t>Atlas SARL</t>
  </si>
  <si>
    <t>F008</t>
  </si>
  <si>
    <t>Ivoire Auto</t>
  </si>
  <si>
    <t>F009</t>
  </si>
  <si>
    <t>Abidjan Cars</t>
  </si>
  <si>
    <t>F010</t>
  </si>
  <si>
    <t>Transport CI</t>
  </si>
  <si>
    <t>F011</t>
  </si>
  <si>
    <t>KDS Logistics</t>
  </si>
  <si>
    <t>F012</t>
  </si>
  <si>
    <t>Kone Transit</t>
  </si>
  <si>
    <t>F013</t>
  </si>
  <si>
    <t>Horizon CI</t>
  </si>
  <si>
    <t>F014</t>
  </si>
  <si>
    <t>Sun Auto</t>
  </si>
  <si>
    <t>TVA (18%)</t>
  </si>
  <si>
    <t>F015</t>
  </si>
  <si>
    <t>Phoenix SARL</t>
  </si>
  <si>
    <t>F016</t>
  </si>
  <si>
    <t>Elite Cars</t>
  </si>
  <si>
    <t>F017</t>
  </si>
  <si>
    <t>Smart Mobility</t>
  </si>
  <si>
    <t>F018</t>
  </si>
  <si>
    <t>Rapid Transport</t>
  </si>
  <si>
    <t>F019</t>
  </si>
  <si>
    <t>Ivory Services</t>
  </si>
  <si>
    <t>F020</t>
  </si>
  <si>
    <t>Express CI</t>
  </si>
  <si>
    <t>F021</t>
  </si>
  <si>
    <t>Gold Logistique</t>
  </si>
  <si>
    <t>F022</t>
  </si>
  <si>
    <t>Prestige Auto</t>
  </si>
  <si>
    <t>F023</t>
  </si>
  <si>
    <t>Abidjan Fleet</t>
  </si>
  <si>
    <t>F024</t>
  </si>
  <si>
    <t>Eco Drive</t>
  </si>
  <si>
    <t>F025</t>
  </si>
  <si>
    <t>Vision Transport</t>
  </si>
  <si>
    <t>F026</t>
  </si>
  <si>
    <t>Atlantis SARL</t>
  </si>
  <si>
    <t>F027</t>
  </si>
  <si>
    <t>Nord Sud CI</t>
  </si>
  <si>
    <t>F028</t>
  </si>
  <si>
    <t>Global Cars</t>
  </si>
  <si>
    <t>F029</t>
  </si>
  <si>
    <t>Top Services</t>
  </si>
  <si>
    <t>F030</t>
  </si>
  <si>
    <t>Ivoire Business</t>
  </si>
  <si>
    <t>F031</t>
  </si>
  <si>
    <t>Blue Transit</t>
  </si>
  <si>
    <t>F032</t>
  </si>
  <si>
    <t>Premium Fleet</t>
  </si>
  <si>
    <t>F033</t>
  </si>
  <si>
    <t>Fast Mobility</t>
  </si>
  <si>
    <t>F034</t>
  </si>
  <si>
    <t>Leader Cars</t>
  </si>
  <si>
    <t>F035</t>
  </si>
  <si>
    <t>Africa Rental</t>
  </si>
  <si>
    <t>F036</t>
  </si>
  <si>
    <t>Dynamic Auto</t>
  </si>
  <si>
    <t>F037</t>
  </si>
  <si>
    <t>Turbo Logistique</t>
  </si>
  <si>
    <t>F038</t>
  </si>
  <si>
    <t>Eburnie Services</t>
  </si>
  <si>
    <t>F039</t>
  </si>
  <si>
    <t>Nova Transport</t>
  </si>
  <si>
    <t>Total général</t>
  </si>
  <si>
    <t>Nombre de Facture Totale</t>
  </si>
  <si>
    <t>Révision</t>
  </si>
  <si>
    <t>Vidange</t>
  </si>
  <si>
    <t>Assurance</t>
  </si>
  <si>
    <t>Pneumatiques</t>
  </si>
  <si>
    <t>Carrosserie</t>
  </si>
  <si>
    <t>Dépannage</t>
  </si>
  <si>
    <t>Remorquage</t>
  </si>
  <si>
    <t>Contrôle technique</t>
  </si>
  <si>
    <t>Nettoyage</t>
  </si>
  <si>
    <t>Location prolongée</t>
  </si>
  <si>
    <t>Frais administratifs</t>
  </si>
  <si>
    <t>Type factures</t>
  </si>
  <si>
    <t>F040</t>
  </si>
  <si>
    <t>Location de voitures</t>
  </si>
  <si>
    <t>Bilan de factures année 2026</t>
  </si>
  <si>
    <t xml:space="preserve">Facture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</si>
</sst>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  <font>
      <b/>
      <sz val="16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theme="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5" fillId="5" borderId="1" xfId="0" applyNumberFormat="1" applyFont="1" applyFill="1" applyBorder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5" borderId="5" xfId="0" applyFont="1" applyFill="1" applyBorder="1"/>
    <xf numFmtId="14" fontId="1" fillId="5" borderId="1" xfId="0" applyNumberFormat="1" applyFont="1" applyFill="1" applyBorder="1"/>
    <xf numFmtId="0" fontId="1" fillId="5" borderId="1" xfId="0" applyFont="1" applyFill="1" applyBorder="1" applyAlignment="1">
      <alignment horizontal="left"/>
    </xf>
    <xf numFmtId="164" fontId="1" fillId="5" borderId="1" xfId="0" applyNumberFormat="1" applyFont="1" applyFill="1" applyBorder="1"/>
    <xf numFmtId="164" fontId="1" fillId="5" borderId="6" xfId="0" applyNumberFormat="1" applyFont="1" applyFill="1" applyBorder="1"/>
    <xf numFmtId="0" fontId="1" fillId="5" borderId="7" xfId="0" applyFont="1" applyFill="1" applyBorder="1"/>
    <xf numFmtId="14" fontId="1" fillId="5" borderId="8" xfId="0" applyNumberFormat="1" applyFont="1" applyFill="1" applyBorder="1"/>
    <xf numFmtId="0" fontId="1" fillId="5" borderId="8" xfId="0" applyFont="1" applyFill="1" applyBorder="1" applyAlignment="1">
      <alignment horizontal="left"/>
    </xf>
    <xf numFmtId="164" fontId="1" fillId="5" borderId="8" xfId="0" applyNumberFormat="1" applyFont="1" applyFill="1" applyBorder="1"/>
    <xf numFmtId="164" fontId="1" fillId="5" borderId="9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#,##0\ &quot;€&quot;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#,##0\ &quot;€&quot;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#,##0\ &quot;€&quot;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9" formatCode="dd/mm/yyyy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theme="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38.779053587961" createdVersion="8" refreshedVersion="8" minRefreshableVersion="3" recordCount="39" xr:uid="{8EC1774B-B2CE-4B30-8FFE-7AB904A4035F}">
  <cacheSource type="worksheet">
    <worksheetSource name="Tableau2"/>
  </cacheSource>
  <cacheFields count="8">
    <cacheField name="ID Facture" numFmtId="0">
      <sharedItems/>
    </cacheField>
    <cacheField name="Date" numFmtId="14">
      <sharedItems containsSemiMixedTypes="0" containsNonDate="0" containsDate="1" containsString="0" minDate="2026-01-05T00:00:00" maxDate="2026-05-18T00:00:00"/>
    </cacheField>
    <cacheField name="Client" numFmtId="0">
      <sharedItems/>
    </cacheField>
    <cacheField name="Type de moteur" numFmtId="0">
      <sharedItems/>
    </cacheField>
    <cacheField name="Type de facture" numFmtId="0">
      <sharedItems count="13">
        <s v="Maintenance"/>
        <s v="Accident"/>
        <s v="Révision"/>
        <s v="Vidange"/>
        <s v="Assurance"/>
        <s v="Pneumatiques"/>
        <s v="Carrosserie"/>
        <s v="Dépannage"/>
        <s v="Remorquage"/>
        <s v="Contrôle technique"/>
        <s v="Nettoyage"/>
        <s v="Location prolongée"/>
        <s v="Frais administratifs"/>
      </sharedItems>
    </cacheField>
    <cacheField name="Facture Totale" numFmtId="164">
      <sharedItems containsSemiMixedTypes="0" containsString="0" containsNumber="1" containsInteger="1" minValue="250" maxValue="2200"/>
    </cacheField>
    <cacheField name="TVA (18%)" numFmtId="164">
      <sharedItems containsSemiMixedTypes="0" containsString="0" containsNumber="1" minValue="45" maxValue="396"/>
    </cacheField>
    <cacheField name="Total TTC" numFmtId="164">
      <sharedItems containsSemiMixedTypes="0" containsString="0" containsNumber="1" minValue="295" maxValue="2596"/>
    </cacheField>
  </cacheFields>
  <extLst>
    <ext xmlns:x14="http://schemas.microsoft.com/office/spreadsheetml/2009/9/main" uri="{725AE2AE-9491-48be-B2B4-4EB974FC3084}">
      <x14:pivotCacheDefinition pivotCacheId="1573443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F001"/>
    <d v="2026-01-05T00:00:00"/>
    <s v="Alpha SARL"/>
    <s v="Diesel"/>
    <x v="0"/>
    <n v="250"/>
    <n v="45"/>
    <n v="295"/>
  </r>
  <r>
    <s v="F002"/>
    <d v="2026-01-08T00:00:00"/>
    <s v="Beta SA"/>
    <s v="Essence"/>
    <x v="1"/>
    <n v="1200"/>
    <n v="216"/>
    <n v="1416"/>
  </r>
  <r>
    <s v="F003"/>
    <d v="2026-01-12T00:00:00"/>
    <s v="Gamma CI"/>
    <s v="Diesel"/>
    <x v="2"/>
    <n v="1800"/>
    <n v="324"/>
    <n v="2124"/>
  </r>
  <r>
    <s v="F004"/>
    <d v="2026-01-15T00:00:00"/>
    <s v="Delta SARL"/>
    <s v="Diesel"/>
    <x v="3"/>
    <n v="320"/>
    <n v="57.599999999999994"/>
    <n v="377.6"/>
  </r>
  <r>
    <s v="F005"/>
    <d v="2026-01-20T00:00:00"/>
    <s v="Omega SARL"/>
    <s v="Hybride"/>
    <x v="4"/>
    <n v="410"/>
    <n v="73.8"/>
    <n v="483.8"/>
  </r>
  <r>
    <s v="F006"/>
    <d v="2026-01-23T00:00:00"/>
    <s v="Sigma SA"/>
    <s v="Diesel"/>
    <x v="1"/>
    <n v="1450"/>
    <n v="261"/>
    <n v="1711"/>
  </r>
  <r>
    <s v="F007"/>
    <d v="2026-01-27T00:00:00"/>
    <s v="Atlas SARL"/>
    <s v="Diesel"/>
    <x v="5"/>
    <n v="390"/>
    <n v="70.2"/>
    <n v="460.2"/>
  </r>
  <r>
    <s v="F008"/>
    <d v="2026-01-30T00:00:00"/>
    <s v="Ivoire Auto"/>
    <s v="Essence"/>
    <x v="6"/>
    <n v="980"/>
    <n v="176.4"/>
    <n v="1156.4000000000001"/>
  </r>
  <r>
    <s v="F009"/>
    <d v="2026-02-02T00:00:00"/>
    <s v="Abidjan Cars"/>
    <s v="Diesel"/>
    <x v="7"/>
    <n v="500"/>
    <n v="90"/>
    <n v="590"/>
  </r>
  <r>
    <s v="F010"/>
    <d v="2026-02-06T00:00:00"/>
    <s v="Transport CI"/>
    <s v="Diesel"/>
    <x v="1"/>
    <n v="2100"/>
    <n v="378"/>
    <n v="2478"/>
  </r>
  <r>
    <s v="F011"/>
    <d v="2026-02-10T00:00:00"/>
    <s v="KDS Logistics"/>
    <s v="Essence"/>
    <x v="8"/>
    <n v="340"/>
    <n v="61.199999999999996"/>
    <n v="401.2"/>
  </r>
  <r>
    <s v="F012"/>
    <d v="2026-02-12T00:00:00"/>
    <s v="Kone Transit"/>
    <s v="Diesel"/>
    <x v="9"/>
    <n v="1650"/>
    <n v="297"/>
    <n v="1947"/>
  </r>
  <r>
    <s v="F013"/>
    <d v="2026-02-15T00:00:00"/>
    <s v="Horizon CI"/>
    <s v="Hybride"/>
    <x v="10"/>
    <n v="430"/>
    <n v="77.399999999999991"/>
    <n v="507.4"/>
  </r>
  <r>
    <s v="F014"/>
    <d v="2026-02-18T00:00:00"/>
    <s v="Sun Auto"/>
    <s v="Diesel"/>
    <x v="11"/>
    <n v="620"/>
    <n v="111.6"/>
    <n v="731.6"/>
  </r>
  <r>
    <s v="F015"/>
    <d v="2026-02-21T00:00:00"/>
    <s v="Phoenix SARL"/>
    <s v="Diesel"/>
    <x v="1"/>
    <n v="1950"/>
    <n v="351"/>
    <n v="2301"/>
  </r>
  <r>
    <s v="F016"/>
    <d v="2026-02-25T00:00:00"/>
    <s v="Elite Cars"/>
    <s v="Essence"/>
    <x v="0"/>
    <n v="870"/>
    <n v="156.6"/>
    <n v="1026.5999999999999"/>
  </r>
  <r>
    <s v="F017"/>
    <d v="2026-02-28T00:00:00"/>
    <s v="Smart Mobility"/>
    <s v="Diesel"/>
    <x v="4"/>
    <n v="300"/>
    <n v="54"/>
    <n v="354"/>
  </r>
  <r>
    <s v="F018"/>
    <d v="2026-03-03T00:00:00"/>
    <s v="Rapid Transport"/>
    <s v="Diesel"/>
    <x v="2"/>
    <n v="1750"/>
    <n v="315"/>
    <n v="2065"/>
  </r>
  <r>
    <s v="F019"/>
    <d v="2026-03-06T00:00:00"/>
    <s v="Ivory Services"/>
    <s v="Essence"/>
    <x v="3"/>
    <n v="410"/>
    <n v="73.8"/>
    <n v="483.8"/>
  </r>
  <r>
    <s v="F020"/>
    <d v="2026-03-10T00:00:00"/>
    <s v="Express CI"/>
    <s v="Diesel"/>
    <x v="1"/>
    <n v="1820"/>
    <n v="327.59999999999997"/>
    <n v="2147.6"/>
  </r>
  <r>
    <s v="F021"/>
    <d v="2026-03-13T00:00:00"/>
    <s v="Gold Logistique"/>
    <s v="Diesel"/>
    <x v="6"/>
    <n v="280"/>
    <n v="50.4"/>
    <n v="330.4"/>
  </r>
  <r>
    <s v="F022"/>
    <d v="2026-03-17T00:00:00"/>
    <s v="Prestige Auto"/>
    <s v="Hybride"/>
    <x v="5"/>
    <n v="1320"/>
    <n v="237.6"/>
    <n v="1557.6"/>
  </r>
  <r>
    <s v="F023"/>
    <d v="2026-03-20T00:00:00"/>
    <s v="Abidjan Fleet"/>
    <s v="Diesel"/>
    <x v="1"/>
    <n v="2050"/>
    <n v="369"/>
    <n v="2419"/>
  </r>
  <r>
    <s v="F024"/>
    <d v="2026-03-24T00:00:00"/>
    <s v="Eco Drive"/>
    <s v="Essence"/>
    <x v="10"/>
    <n v="360"/>
    <n v="64.8"/>
    <n v="424.8"/>
  </r>
  <r>
    <s v="F025"/>
    <d v="2026-03-27T00:00:00"/>
    <s v="Vision Transport"/>
    <s v="Diesel"/>
    <x v="0"/>
    <n v="470"/>
    <n v="84.6"/>
    <n v="554.6"/>
  </r>
  <r>
    <s v="F026"/>
    <d v="2026-03-30T00:00:00"/>
    <s v="Atlantis SARL"/>
    <s v="Diesel"/>
    <x v="9"/>
    <n v="1580"/>
    <n v="284.39999999999998"/>
    <n v="1864.4"/>
  </r>
  <r>
    <s v="F027"/>
    <d v="2026-04-02T00:00:00"/>
    <s v="Nord Sud CI"/>
    <s v="Essence"/>
    <x v="1"/>
    <n v="1090"/>
    <n v="196.2"/>
    <n v="1286.2"/>
  </r>
  <r>
    <s v="F028"/>
    <d v="2026-04-07T00:00:00"/>
    <s v="Global Cars"/>
    <s v="Diesel"/>
    <x v="7"/>
    <n v="540"/>
    <n v="97.2"/>
    <n v="637.20000000000005"/>
  </r>
  <r>
    <s v="F029"/>
    <d v="2026-04-11T00:00:00"/>
    <s v="Top Services"/>
    <s v="Diesel"/>
    <x v="1"/>
    <n v="2200"/>
    <n v="396"/>
    <n v="2596"/>
  </r>
  <r>
    <s v="F030"/>
    <d v="2026-04-14T00:00:00"/>
    <s v="Ivoire Business"/>
    <s v="Hybride"/>
    <x v="11"/>
    <n v="380"/>
    <n v="68.399999999999991"/>
    <n v="448.4"/>
  </r>
  <r>
    <s v="F031"/>
    <d v="2026-04-18T00:00:00"/>
    <s v="Blue Transit"/>
    <s v="Diesel"/>
    <x v="2"/>
    <n v="1430"/>
    <n v="257.39999999999998"/>
    <n v="1687.4"/>
  </r>
  <r>
    <s v="F032"/>
    <d v="2026-04-21T00:00:00"/>
    <s v="Premium Fleet"/>
    <s v="Essence"/>
    <x v="4"/>
    <n v="450"/>
    <n v="81"/>
    <n v="531"/>
  </r>
  <r>
    <s v="F033"/>
    <d v="2026-04-24T00:00:00"/>
    <s v="Fast Mobility"/>
    <s v="Diesel"/>
    <x v="1"/>
    <n v="1990"/>
    <n v="358.2"/>
    <n v="2348.1999999999998"/>
  </r>
  <r>
    <s v="F034"/>
    <d v="2026-04-28T00:00:00"/>
    <s v="Leader Cars"/>
    <s v="Diesel"/>
    <x v="6"/>
    <n v="610"/>
    <n v="109.8"/>
    <n v="719.8"/>
  </r>
  <r>
    <s v="F035"/>
    <d v="2026-05-02T00:00:00"/>
    <s v="Africa Rental"/>
    <s v="Essence"/>
    <x v="0"/>
    <n v="1250"/>
    <n v="225"/>
    <n v="1475"/>
  </r>
  <r>
    <s v="F036"/>
    <d v="2026-05-05T00:00:00"/>
    <s v="Dynamic Auto"/>
    <s v="Diesel"/>
    <x v="1"/>
    <n v="1700"/>
    <n v="306"/>
    <n v="2006"/>
  </r>
  <r>
    <s v="F037"/>
    <d v="2026-05-09T00:00:00"/>
    <s v="Turbo Logistique"/>
    <s v="Diesel"/>
    <x v="5"/>
    <n v="520"/>
    <n v="93.6"/>
    <n v="613.6"/>
  </r>
  <r>
    <s v="F038"/>
    <d v="2026-05-13T00:00:00"/>
    <s v="Eburnie Services"/>
    <s v="Diesel"/>
    <x v="1"/>
    <n v="2140"/>
    <n v="385.2"/>
    <n v="2525.1999999999998"/>
  </r>
  <r>
    <s v="F039"/>
    <d v="2026-05-17T00:00:00"/>
    <s v="Nova Transport"/>
    <s v="Hybride"/>
    <x v="12"/>
    <n v="390"/>
    <n v="70.2"/>
    <n v="46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F2E68-EC85-4A07-8DFF-CC863E90AAD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ype factures">
  <location ref="A3:B17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164" showAll="0"/>
    <pivotField numFmtId="164" showAll="0"/>
    <pivotField numFmtId="164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mbre de Facture Totale" fld="5" subtotal="count" baseField="4" baseItem="6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0300D6-C711-4E3B-A0ED-62DF4129044C}" name="Tableau2" displayName="Tableau2" ref="A3:H42" totalsRowShown="0" headerRowDxfId="12" dataDxfId="10" headerRowBorderDxfId="11" tableBorderDxfId="9" totalsRowBorderDxfId="8">
  <autoFilter ref="A3:H42" xr:uid="{210300D6-C711-4E3B-A0ED-62DF412904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69EDE2-F567-4654-B912-A853BEDA9115}" name="ID Facture" dataDxfId="7"/>
    <tableColumn id="2" xr3:uid="{6981B94B-B5BB-498D-82D2-08BC113D4AC2}" name="Date" dataDxfId="6"/>
    <tableColumn id="3" xr3:uid="{A6F4F985-A846-40EF-908B-7C9D2D6416A8}" name="Client" dataDxfId="5"/>
    <tableColumn id="4" xr3:uid="{8EF055BA-E949-4348-8130-831832EDA720}" name="Type de moteur" dataDxfId="4"/>
    <tableColumn id="5" xr3:uid="{75DDBED4-719F-4AA1-9E71-35F24E31382E}" name="Type de facture" dataDxfId="3"/>
    <tableColumn id="6" xr3:uid="{9DFE1F5C-AFA7-4EBC-A540-FD36EF8D3447}" name="Facture Totale" dataDxfId="2"/>
    <tableColumn id="7" xr3:uid="{CE584008-19E7-4C72-82BA-3155C6232A49}" name="TVA (18%)" dataDxfId="1">
      <calculatedColumnFormula>F4*18%</calculatedColumnFormula>
    </tableColumn>
    <tableColumn id="8" xr3:uid="{9E43364B-D449-4935-AF2A-88C27EB0DF41}" name="Total TTC" dataDxfId="0">
      <calculatedColumnFormula>SUM(F4:G4)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89B7-E2CC-4080-9EE6-8420FB830913}">
  <dimension ref="A1:J42"/>
  <sheetViews>
    <sheetView workbookViewId="0">
      <selection activeCell="J5" sqref="J5"/>
    </sheetView>
  </sheetViews>
  <sheetFormatPr baseColWidth="10" defaultRowHeight="15" x14ac:dyDescent="0.25"/>
  <cols>
    <col min="1" max="1" width="14.140625" customWidth="1"/>
    <col min="2" max="2" width="18.42578125" customWidth="1"/>
    <col min="3" max="3" width="22.85546875" customWidth="1"/>
    <col min="4" max="4" width="21.5703125" customWidth="1"/>
    <col min="5" max="5" width="24.5703125" customWidth="1"/>
    <col min="6" max="6" width="19.7109375" customWidth="1"/>
    <col min="7" max="7" width="14.28515625" customWidth="1"/>
    <col min="8" max="8" width="16" customWidth="1"/>
    <col min="10" max="10" width="19.140625" customWidth="1"/>
  </cols>
  <sheetData>
    <row r="1" spans="1:10" ht="25.5" customHeight="1" x14ac:dyDescent="0.4">
      <c r="A1" s="21" t="s">
        <v>106</v>
      </c>
      <c r="B1" s="21"/>
      <c r="C1" s="21"/>
      <c r="D1" s="21"/>
      <c r="E1" s="21"/>
      <c r="F1" s="21"/>
      <c r="G1" s="21"/>
      <c r="H1" s="21"/>
    </row>
    <row r="2" spans="1:10" ht="22.5" customHeight="1" x14ac:dyDescent="0.25">
      <c r="A2" s="22" t="s">
        <v>107</v>
      </c>
      <c r="B2" s="22"/>
      <c r="C2" s="22"/>
      <c r="D2" s="22"/>
      <c r="E2" s="22"/>
      <c r="F2" s="22"/>
      <c r="G2" s="22"/>
      <c r="H2" s="22"/>
    </row>
    <row r="3" spans="1:10" ht="28.5" customHeight="1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40</v>
      </c>
      <c r="H3" s="7" t="s">
        <v>6</v>
      </c>
    </row>
    <row r="4" spans="1:10" ht="17.25" x14ac:dyDescent="0.3">
      <c r="A4" s="8" t="s">
        <v>7</v>
      </c>
      <c r="B4" s="9">
        <v>46027</v>
      </c>
      <c r="C4" s="10" t="s">
        <v>8</v>
      </c>
      <c r="D4" s="10" t="s">
        <v>9</v>
      </c>
      <c r="E4" s="10" t="s">
        <v>10</v>
      </c>
      <c r="F4" s="11">
        <v>250</v>
      </c>
      <c r="G4" s="11">
        <f>F4*18%</f>
        <v>45</v>
      </c>
      <c r="H4" s="12">
        <f>SUM(F4:G4)</f>
        <v>295</v>
      </c>
    </row>
    <row r="5" spans="1:10" ht="20.25" x14ac:dyDescent="0.3">
      <c r="A5" s="8" t="s">
        <v>11</v>
      </c>
      <c r="B5" s="9">
        <v>46030</v>
      </c>
      <c r="C5" s="10" t="s">
        <v>12</v>
      </c>
      <c r="D5" s="10" t="s">
        <v>13</v>
      </c>
      <c r="E5" s="10" t="s">
        <v>14</v>
      </c>
      <c r="F5" s="11">
        <v>1200</v>
      </c>
      <c r="G5" s="11">
        <f t="shared" ref="G5:G42" si="0">F5*18%</f>
        <v>216</v>
      </c>
      <c r="H5" s="12">
        <f t="shared" ref="H5:H42" si="1">SUM(F5:G5)</f>
        <v>1416</v>
      </c>
      <c r="J5" s="4"/>
    </row>
    <row r="6" spans="1:10" ht="17.25" x14ac:dyDescent="0.3">
      <c r="A6" s="8" t="s">
        <v>15</v>
      </c>
      <c r="B6" s="9">
        <v>46034</v>
      </c>
      <c r="C6" s="10" t="s">
        <v>16</v>
      </c>
      <c r="D6" s="10" t="s">
        <v>9</v>
      </c>
      <c r="E6" s="10" t="s">
        <v>93</v>
      </c>
      <c r="F6" s="11">
        <v>1800</v>
      </c>
      <c r="G6" s="11">
        <f t="shared" si="0"/>
        <v>324</v>
      </c>
      <c r="H6" s="12">
        <f t="shared" si="1"/>
        <v>2124</v>
      </c>
    </row>
    <row r="7" spans="1:10" ht="17.25" x14ac:dyDescent="0.3">
      <c r="A7" s="8" t="s">
        <v>17</v>
      </c>
      <c r="B7" s="9">
        <v>46037</v>
      </c>
      <c r="C7" s="10" t="s">
        <v>18</v>
      </c>
      <c r="D7" s="10" t="s">
        <v>9</v>
      </c>
      <c r="E7" s="10" t="s">
        <v>94</v>
      </c>
      <c r="F7" s="11">
        <v>320</v>
      </c>
      <c r="G7" s="11">
        <f t="shared" si="0"/>
        <v>57.599999999999994</v>
      </c>
      <c r="H7" s="12">
        <f t="shared" si="1"/>
        <v>377.6</v>
      </c>
    </row>
    <row r="8" spans="1:10" ht="17.25" x14ac:dyDescent="0.3">
      <c r="A8" s="8" t="s">
        <v>19</v>
      </c>
      <c r="B8" s="9">
        <v>46042</v>
      </c>
      <c r="C8" s="10" t="s">
        <v>20</v>
      </c>
      <c r="D8" s="10" t="s">
        <v>21</v>
      </c>
      <c r="E8" s="10" t="s">
        <v>95</v>
      </c>
      <c r="F8" s="11">
        <v>410</v>
      </c>
      <c r="G8" s="11">
        <f t="shared" si="0"/>
        <v>73.8</v>
      </c>
      <c r="H8" s="12">
        <f t="shared" si="1"/>
        <v>483.8</v>
      </c>
    </row>
    <row r="9" spans="1:10" ht="17.25" x14ac:dyDescent="0.3">
      <c r="A9" s="8" t="s">
        <v>22</v>
      </c>
      <c r="B9" s="9">
        <v>46045</v>
      </c>
      <c r="C9" s="10" t="s">
        <v>23</v>
      </c>
      <c r="D9" s="10" t="s">
        <v>9</v>
      </c>
      <c r="E9" s="10" t="s">
        <v>14</v>
      </c>
      <c r="F9" s="11">
        <v>1450</v>
      </c>
      <c r="G9" s="11">
        <f t="shared" si="0"/>
        <v>261</v>
      </c>
      <c r="H9" s="12">
        <f t="shared" si="1"/>
        <v>1711</v>
      </c>
    </row>
    <row r="10" spans="1:10" ht="17.25" x14ac:dyDescent="0.3">
      <c r="A10" s="8" t="s">
        <v>24</v>
      </c>
      <c r="B10" s="9">
        <v>46049</v>
      </c>
      <c r="C10" s="10" t="s">
        <v>25</v>
      </c>
      <c r="D10" s="10" t="s">
        <v>9</v>
      </c>
      <c r="E10" s="10" t="s">
        <v>96</v>
      </c>
      <c r="F10" s="11">
        <v>390</v>
      </c>
      <c r="G10" s="11">
        <f t="shared" si="0"/>
        <v>70.2</v>
      </c>
      <c r="H10" s="12">
        <f t="shared" si="1"/>
        <v>460.2</v>
      </c>
    </row>
    <row r="11" spans="1:10" ht="17.25" x14ac:dyDescent="0.3">
      <c r="A11" s="8" t="s">
        <v>26</v>
      </c>
      <c r="B11" s="9">
        <v>46052</v>
      </c>
      <c r="C11" s="10" t="s">
        <v>27</v>
      </c>
      <c r="D11" s="10" t="s">
        <v>13</v>
      </c>
      <c r="E11" s="10" t="s">
        <v>97</v>
      </c>
      <c r="F11" s="11">
        <v>980</v>
      </c>
      <c r="G11" s="11">
        <f t="shared" si="0"/>
        <v>176.4</v>
      </c>
      <c r="H11" s="12">
        <f t="shared" si="1"/>
        <v>1156.4000000000001</v>
      </c>
    </row>
    <row r="12" spans="1:10" ht="17.25" x14ac:dyDescent="0.3">
      <c r="A12" s="8" t="s">
        <v>28</v>
      </c>
      <c r="B12" s="9">
        <v>46055</v>
      </c>
      <c r="C12" s="10" t="s">
        <v>29</v>
      </c>
      <c r="D12" s="10" t="s">
        <v>9</v>
      </c>
      <c r="E12" s="10" t="s">
        <v>98</v>
      </c>
      <c r="F12" s="11">
        <v>500</v>
      </c>
      <c r="G12" s="11">
        <f t="shared" si="0"/>
        <v>90</v>
      </c>
      <c r="H12" s="12">
        <f t="shared" si="1"/>
        <v>590</v>
      </c>
    </row>
    <row r="13" spans="1:10" ht="17.25" x14ac:dyDescent="0.3">
      <c r="A13" s="8" t="s">
        <v>30</v>
      </c>
      <c r="B13" s="9">
        <v>46059</v>
      </c>
      <c r="C13" s="10" t="s">
        <v>31</v>
      </c>
      <c r="D13" s="10" t="s">
        <v>9</v>
      </c>
      <c r="E13" s="10" t="s">
        <v>14</v>
      </c>
      <c r="F13" s="11">
        <v>2100</v>
      </c>
      <c r="G13" s="11">
        <f t="shared" si="0"/>
        <v>378</v>
      </c>
      <c r="H13" s="12">
        <f t="shared" si="1"/>
        <v>2478</v>
      </c>
    </row>
    <row r="14" spans="1:10" ht="17.25" x14ac:dyDescent="0.3">
      <c r="A14" s="8" t="s">
        <v>32</v>
      </c>
      <c r="B14" s="9">
        <v>46063</v>
      </c>
      <c r="C14" s="10" t="s">
        <v>33</v>
      </c>
      <c r="D14" s="10" t="s">
        <v>13</v>
      </c>
      <c r="E14" s="10" t="s">
        <v>99</v>
      </c>
      <c r="F14" s="11">
        <v>340</v>
      </c>
      <c r="G14" s="11">
        <f t="shared" si="0"/>
        <v>61.199999999999996</v>
      </c>
      <c r="H14" s="12">
        <f t="shared" si="1"/>
        <v>401.2</v>
      </c>
    </row>
    <row r="15" spans="1:10" ht="17.25" x14ac:dyDescent="0.3">
      <c r="A15" s="8" t="s">
        <v>34</v>
      </c>
      <c r="B15" s="9">
        <v>46065</v>
      </c>
      <c r="C15" s="10" t="s">
        <v>35</v>
      </c>
      <c r="D15" s="10" t="s">
        <v>9</v>
      </c>
      <c r="E15" s="10" t="s">
        <v>100</v>
      </c>
      <c r="F15" s="11">
        <v>1650</v>
      </c>
      <c r="G15" s="11">
        <f t="shared" si="0"/>
        <v>297</v>
      </c>
      <c r="H15" s="12">
        <f t="shared" si="1"/>
        <v>1947</v>
      </c>
    </row>
    <row r="16" spans="1:10" ht="17.25" x14ac:dyDescent="0.3">
      <c r="A16" s="8" t="s">
        <v>36</v>
      </c>
      <c r="B16" s="9">
        <v>46068</v>
      </c>
      <c r="C16" s="10" t="s">
        <v>37</v>
      </c>
      <c r="D16" s="10" t="s">
        <v>21</v>
      </c>
      <c r="E16" s="10" t="s">
        <v>101</v>
      </c>
      <c r="F16" s="11">
        <v>430</v>
      </c>
      <c r="G16" s="11">
        <f t="shared" si="0"/>
        <v>77.399999999999991</v>
      </c>
      <c r="H16" s="12">
        <f t="shared" si="1"/>
        <v>507.4</v>
      </c>
    </row>
    <row r="17" spans="1:8" ht="17.25" x14ac:dyDescent="0.3">
      <c r="A17" s="8" t="s">
        <v>38</v>
      </c>
      <c r="B17" s="9">
        <v>46071</v>
      </c>
      <c r="C17" s="10" t="s">
        <v>39</v>
      </c>
      <c r="D17" s="10" t="s">
        <v>9</v>
      </c>
      <c r="E17" s="10" t="s">
        <v>102</v>
      </c>
      <c r="F17" s="11">
        <v>620</v>
      </c>
      <c r="G17" s="11">
        <f t="shared" si="0"/>
        <v>111.6</v>
      </c>
      <c r="H17" s="12">
        <f t="shared" si="1"/>
        <v>731.6</v>
      </c>
    </row>
    <row r="18" spans="1:8" ht="17.25" x14ac:dyDescent="0.3">
      <c r="A18" s="8" t="s">
        <v>41</v>
      </c>
      <c r="B18" s="9">
        <v>46074</v>
      </c>
      <c r="C18" s="10" t="s">
        <v>42</v>
      </c>
      <c r="D18" s="10" t="s">
        <v>9</v>
      </c>
      <c r="E18" s="10" t="s">
        <v>14</v>
      </c>
      <c r="F18" s="11">
        <v>1950</v>
      </c>
      <c r="G18" s="11">
        <f t="shared" si="0"/>
        <v>351</v>
      </c>
      <c r="H18" s="12">
        <f t="shared" si="1"/>
        <v>2301</v>
      </c>
    </row>
    <row r="19" spans="1:8" ht="17.25" x14ac:dyDescent="0.3">
      <c r="A19" s="8" t="s">
        <v>43</v>
      </c>
      <c r="B19" s="9">
        <v>46078</v>
      </c>
      <c r="C19" s="10" t="s">
        <v>44</v>
      </c>
      <c r="D19" s="10" t="s">
        <v>13</v>
      </c>
      <c r="E19" s="10" t="s">
        <v>10</v>
      </c>
      <c r="F19" s="11">
        <v>870</v>
      </c>
      <c r="G19" s="11">
        <f t="shared" si="0"/>
        <v>156.6</v>
      </c>
      <c r="H19" s="12">
        <f t="shared" si="1"/>
        <v>1026.5999999999999</v>
      </c>
    </row>
    <row r="20" spans="1:8" ht="17.25" x14ac:dyDescent="0.3">
      <c r="A20" s="8" t="s">
        <v>45</v>
      </c>
      <c r="B20" s="9">
        <v>46081</v>
      </c>
      <c r="C20" s="10" t="s">
        <v>46</v>
      </c>
      <c r="D20" s="10" t="s">
        <v>9</v>
      </c>
      <c r="E20" s="10" t="s">
        <v>95</v>
      </c>
      <c r="F20" s="11">
        <v>300</v>
      </c>
      <c r="G20" s="11">
        <f t="shared" si="0"/>
        <v>54</v>
      </c>
      <c r="H20" s="12">
        <f t="shared" si="1"/>
        <v>354</v>
      </c>
    </row>
    <row r="21" spans="1:8" ht="17.25" x14ac:dyDescent="0.3">
      <c r="A21" s="8" t="s">
        <v>47</v>
      </c>
      <c r="B21" s="9">
        <v>46084</v>
      </c>
      <c r="C21" s="10" t="s">
        <v>48</v>
      </c>
      <c r="D21" s="10" t="s">
        <v>9</v>
      </c>
      <c r="E21" s="10" t="s">
        <v>93</v>
      </c>
      <c r="F21" s="11">
        <v>1750</v>
      </c>
      <c r="G21" s="11">
        <f t="shared" si="0"/>
        <v>315</v>
      </c>
      <c r="H21" s="12">
        <f t="shared" si="1"/>
        <v>2065</v>
      </c>
    </row>
    <row r="22" spans="1:8" ht="17.25" x14ac:dyDescent="0.3">
      <c r="A22" s="8" t="s">
        <v>49</v>
      </c>
      <c r="B22" s="9">
        <v>46087</v>
      </c>
      <c r="C22" s="10" t="s">
        <v>50</v>
      </c>
      <c r="D22" s="10" t="s">
        <v>13</v>
      </c>
      <c r="E22" s="10" t="s">
        <v>94</v>
      </c>
      <c r="F22" s="11">
        <v>410</v>
      </c>
      <c r="G22" s="11">
        <f t="shared" si="0"/>
        <v>73.8</v>
      </c>
      <c r="H22" s="12">
        <f t="shared" si="1"/>
        <v>483.8</v>
      </c>
    </row>
    <row r="23" spans="1:8" ht="17.25" x14ac:dyDescent="0.3">
      <c r="A23" s="8" t="s">
        <v>51</v>
      </c>
      <c r="B23" s="9">
        <v>46091</v>
      </c>
      <c r="C23" s="10" t="s">
        <v>52</v>
      </c>
      <c r="D23" s="10" t="s">
        <v>9</v>
      </c>
      <c r="E23" s="10" t="s">
        <v>14</v>
      </c>
      <c r="F23" s="11">
        <v>1820</v>
      </c>
      <c r="G23" s="11">
        <f t="shared" si="0"/>
        <v>327.59999999999997</v>
      </c>
      <c r="H23" s="12">
        <f t="shared" si="1"/>
        <v>2147.6</v>
      </c>
    </row>
    <row r="24" spans="1:8" ht="17.25" x14ac:dyDescent="0.3">
      <c r="A24" s="8" t="s">
        <v>53</v>
      </c>
      <c r="B24" s="9">
        <v>46094</v>
      </c>
      <c r="C24" s="10" t="s">
        <v>54</v>
      </c>
      <c r="D24" s="10" t="s">
        <v>9</v>
      </c>
      <c r="E24" s="10" t="s">
        <v>97</v>
      </c>
      <c r="F24" s="11">
        <v>280</v>
      </c>
      <c r="G24" s="11">
        <f t="shared" si="0"/>
        <v>50.4</v>
      </c>
      <c r="H24" s="12">
        <f t="shared" si="1"/>
        <v>330.4</v>
      </c>
    </row>
    <row r="25" spans="1:8" ht="17.25" x14ac:dyDescent="0.3">
      <c r="A25" s="8" t="s">
        <v>55</v>
      </c>
      <c r="B25" s="9">
        <v>46098</v>
      </c>
      <c r="C25" s="10" t="s">
        <v>56</v>
      </c>
      <c r="D25" s="10" t="s">
        <v>21</v>
      </c>
      <c r="E25" s="10" t="s">
        <v>96</v>
      </c>
      <c r="F25" s="11">
        <v>1320</v>
      </c>
      <c r="G25" s="11">
        <f t="shared" si="0"/>
        <v>237.6</v>
      </c>
      <c r="H25" s="12">
        <f t="shared" si="1"/>
        <v>1557.6</v>
      </c>
    </row>
    <row r="26" spans="1:8" ht="17.25" x14ac:dyDescent="0.3">
      <c r="A26" s="8" t="s">
        <v>57</v>
      </c>
      <c r="B26" s="9">
        <v>46101</v>
      </c>
      <c r="C26" s="10" t="s">
        <v>58</v>
      </c>
      <c r="D26" s="10" t="s">
        <v>9</v>
      </c>
      <c r="E26" s="10" t="s">
        <v>14</v>
      </c>
      <c r="F26" s="11">
        <v>2050</v>
      </c>
      <c r="G26" s="11">
        <f t="shared" si="0"/>
        <v>369</v>
      </c>
      <c r="H26" s="12">
        <f t="shared" si="1"/>
        <v>2419</v>
      </c>
    </row>
    <row r="27" spans="1:8" ht="17.25" x14ac:dyDescent="0.3">
      <c r="A27" s="8" t="s">
        <v>59</v>
      </c>
      <c r="B27" s="9">
        <v>46105</v>
      </c>
      <c r="C27" s="10" t="s">
        <v>60</v>
      </c>
      <c r="D27" s="10" t="s">
        <v>13</v>
      </c>
      <c r="E27" s="10" t="s">
        <v>101</v>
      </c>
      <c r="F27" s="11">
        <v>360</v>
      </c>
      <c r="G27" s="11">
        <f t="shared" si="0"/>
        <v>64.8</v>
      </c>
      <c r="H27" s="12">
        <f t="shared" si="1"/>
        <v>424.8</v>
      </c>
    </row>
    <row r="28" spans="1:8" ht="17.25" x14ac:dyDescent="0.3">
      <c r="A28" s="8" t="s">
        <v>61</v>
      </c>
      <c r="B28" s="9">
        <v>46108</v>
      </c>
      <c r="C28" s="10" t="s">
        <v>62</v>
      </c>
      <c r="D28" s="10" t="s">
        <v>9</v>
      </c>
      <c r="E28" s="10" t="s">
        <v>10</v>
      </c>
      <c r="F28" s="11">
        <v>470</v>
      </c>
      <c r="G28" s="11">
        <f t="shared" si="0"/>
        <v>84.6</v>
      </c>
      <c r="H28" s="12">
        <f t="shared" si="1"/>
        <v>554.6</v>
      </c>
    </row>
    <row r="29" spans="1:8" ht="17.25" x14ac:dyDescent="0.3">
      <c r="A29" s="8" t="s">
        <v>63</v>
      </c>
      <c r="B29" s="9">
        <v>46111</v>
      </c>
      <c r="C29" s="10" t="s">
        <v>64</v>
      </c>
      <c r="D29" s="10" t="s">
        <v>9</v>
      </c>
      <c r="E29" s="10" t="s">
        <v>100</v>
      </c>
      <c r="F29" s="11">
        <v>1580</v>
      </c>
      <c r="G29" s="11">
        <f t="shared" si="0"/>
        <v>284.39999999999998</v>
      </c>
      <c r="H29" s="12">
        <f t="shared" si="1"/>
        <v>1864.4</v>
      </c>
    </row>
    <row r="30" spans="1:8" ht="17.25" x14ac:dyDescent="0.3">
      <c r="A30" s="8" t="s">
        <v>65</v>
      </c>
      <c r="B30" s="9">
        <v>46114</v>
      </c>
      <c r="C30" s="10" t="s">
        <v>66</v>
      </c>
      <c r="D30" s="10" t="s">
        <v>13</v>
      </c>
      <c r="E30" s="10" t="s">
        <v>14</v>
      </c>
      <c r="F30" s="11">
        <v>1090</v>
      </c>
      <c r="G30" s="11">
        <f t="shared" si="0"/>
        <v>196.2</v>
      </c>
      <c r="H30" s="12">
        <f t="shared" si="1"/>
        <v>1286.2</v>
      </c>
    </row>
    <row r="31" spans="1:8" ht="17.25" x14ac:dyDescent="0.3">
      <c r="A31" s="8" t="s">
        <v>67</v>
      </c>
      <c r="B31" s="9">
        <v>46119</v>
      </c>
      <c r="C31" s="10" t="s">
        <v>68</v>
      </c>
      <c r="D31" s="10" t="s">
        <v>9</v>
      </c>
      <c r="E31" s="10" t="s">
        <v>98</v>
      </c>
      <c r="F31" s="11">
        <v>540</v>
      </c>
      <c r="G31" s="11">
        <f t="shared" si="0"/>
        <v>97.2</v>
      </c>
      <c r="H31" s="12">
        <f t="shared" si="1"/>
        <v>637.20000000000005</v>
      </c>
    </row>
    <row r="32" spans="1:8" ht="17.25" x14ac:dyDescent="0.3">
      <c r="A32" s="8" t="s">
        <v>69</v>
      </c>
      <c r="B32" s="9">
        <v>46123</v>
      </c>
      <c r="C32" s="10" t="s">
        <v>70</v>
      </c>
      <c r="D32" s="10" t="s">
        <v>9</v>
      </c>
      <c r="E32" s="10" t="s">
        <v>14</v>
      </c>
      <c r="F32" s="11">
        <v>2200</v>
      </c>
      <c r="G32" s="11">
        <f t="shared" si="0"/>
        <v>396</v>
      </c>
      <c r="H32" s="12">
        <f t="shared" si="1"/>
        <v>2596</v>
      </c>
    </row>
    <row r="33" spans="1:8" ht="17.25" x14ac:dyDescent="0.3">
      <c r="A33" s="8" t="s">
        <v>71</v>
      </c>
      <c r="B33" s="9">
        <v>46126</v>
      </c>
      <c r="C33" s="10" t="s">
        <v>72</v>
      </c>
      <c r="D33" s="10" t="s">
        <v>21</v>
      </c>
      <c r="E33" s="10" t="s">
        <v>102</v>
      </c>
      <c r="F33" s="11">
        <v>380</v>
      </c>
      <c r="G33" s="11">
        <f t="shared" si="0"/>
        <v>68.399999999999991</v>
      </c>
      <c r="H33" s="12">
        <f t="shared" si="1"/>
        <v>448.4</v>
      </c>
    </row>
    <row r="34" spans="1:8" ht="17.25" x14ac:dyDescent="0.3">
      <c r="A34" s="8" t="s">
        <v>73</v>
      </c>
      <c r="B34" s="9">
        <v>46130</v>
      </c>
      <c r="C34" s="10" t="s">
        <v>74</v>
      </c>
      <c r="D34" s="10" t="s">
        <v>9</v>
      </c>
      <c r="E34" s="10" t="s">
        <v>93</v>
      </c>
      <c r="F34" s="11">
        <v>1430</v>
      </c>
      <c r="G34" s="11">
        <f t="shared" si="0"/>
        <v>257.39999999999998</v>
      </c>
      <c r="H34" s="12">
        <f t="shared" si="1"/>
        <v>1687.4</v>
      </c>
    </row>
    <row r="35" spans="1:8" ht="17.25" x14ac:dyDescent="0.3">
      <c r="A35" s="8" t="s">
        <v>75</v>
      </c>
      <c r="B35" s="9">
        <v>46133</v>
      </c>
      <c r="C35" s="10" t="s">
        <v>76</v>
      </c>
      <c r="D35" s="10" t="s">
        <v>13</v>
      </c>
      <c r="E35" s="10" t="s">
        <v>95</v>
      </c>
      <c r="F35" s="11">
        <v>450</v>
      </c>
      <c r="G35" s="11">
        <f t="shared" si="0"/>
        <v>81</v>
      </c>
      <c r="H35" s="12">
        <f t="shared" si="1"/>
        <v>531</v>
      </c>
    </row>
    <row r="36" spans="1:8" ht="17.25" x14ac:dyDescent="0.3">
      <c r="A36" s="8" t="s">
        <v>77</v>
      </c>
      <c r="B36" s="9">
        <v>46136</v>
      </c>
      <c r="C36" s="10" t="s">
        <v>78</v>
      </c>
      <c r="D36" s="10" t="s">
        <v>9</v>
      </c>
      <c r="E36" s="10" t="s">
        <v>14</v>
      </c>
      <c r="F36" s="11">
        <v>1990</v>
      </c>
      <c r="G36" s="11">
        <f t="shared" si="0"/>
        <v>358.2</v>
      </c>
      <c r="H36" s="12">
        <f t="shared" si="1"/>
        <v>2348.1999999999998</v>
      </c>
    </row>
    <row r="37" spans="1:8" ht="17.25" x14ac:dyDescent="0.3">
      <c r="A37" s="8" t="s">
        <v>79</v>
      </c>
      <c r="B37" s="9">
        <v>46140</v>
      </c>
      <c r="C37" s="10" t="s">
        <v>80</v>
      </c>
      <c r="D37" s="10" t="s">
        <v>9</v>
      </c>
      <c r="E37" s="10" t="s">
        <v>97</v>
      </c>
      <c r="F37" s="11">
        <v>610</v>
      </c>
      <c r="G37" s="11">
        <f t="shared" si="0"/>
        <v>109.8</v>
      </c>
      <c r="H37" s="12">
        <f t="shared" si="1"/>
        <v>719.8</v>
      </c>
    </row>
    <row r="38" spans="1:8" ht="17.25" x14ac:dyDescent="0.3">
      <c r="A38" s="8" t="s">
        <v>81</v>
      </c>
      <c r="B38" s="9">
        <v>46144</v>
      </c>
      <c r="C38" s="10" t="s">
        <v>82</v>
      </c>
      <c r="D38" s="10" t="s">
        <v>13</v>
      </c>
      <c r="E38" s="10" t="s">
        <v>10</v>
      </c>
      <c r="F38" s="11">
        <v>1250</v>
      </c>
      <c r="G38" s="11">
        <f t="shared" si="0"/>
        <v>225</v>
      </c>
      <c r="H38" s="12">
        <f t="shared" si="1"/>
        <v>1475</v>
      </c>
    </row>
    <row r="39" spans="1:8" ht="17.25" x14ac:dyDescent="0.3">
      <c r="A39" s="8" t="s">
        <v>83</v>
      </c>
      <c r="B39" s="9">
        <v>46147</v>
      </c>
      <c r="C39" s="10" t="s">
        <v>84</v>
      </c>
      <c r="D39" s="10" t="s">
        <v>9</v>
      </c>
      <c r="E39" s="10" t="s">
        <v>14</v>
      </c>
      <c r="F39" s="11">
        <v>1700</v>
      </c>
      <c r="G39" s="11">
        <f t="shared" si="0"/>
        <v>306</v>
      </c>
      <c r="H39" s="12">
        <f t="shared" si="1"/>
        <v>2006</v>
      </c>
    </row>
    <row r="40" spans="1:8" ht="17.25" x14ac:dyDescent="0.3">
      <c r="A40" s="8" t="s">
        <v>85</v>
      </c>
      <c r="B40" s="9">
        <v>46151</v>
      </c>
      <c r="C40" s="10" t="s">
        <v>86</v>
      </c>
      <c r="D40" s="10" t="s">
        <v>9</v>
      </c>
      <c r="E40" s="10" t="s">
        <v>96</v>
      </c>
      <c r="F40" s="11">
        <v>520</v>
      </c>
      <c r="G40" s="11">
        <f t="shared" si="0"/>
        <v>93.6</v>
      </c>
      <c r="H40" s="12">
        <f t="shared" si="1"/>
        <v>613.6</v>
      </c>
    </row>
    <row r="41" spans="1:8" ht="17.25" x14ac:dyDescent="0.3">
      <c r="A41" s="8" t="s">
        <v>87</v>
      </c>
      <c r="B41" s="9">
        <v>46155</v>
      </c>
      <c r="C41" s="10" t="s">
        <v>88</v>
      </c>
      <c r="D41" s="10" t="s">
        <v>9</v>
      </c>
      <c r="E41" s="10" t="s">
        <v>14</v>
      </c>
      <c r="F41" s="11">
        <v>2140</v>
      </c>
      <c r="G41" s="11">
        <f t="shared" si="0"/>
        <v>385.2</v>
      </c>
      <c r="H41" s="12">
        <f t="shared" si="1"/>
        <v>2525.1999999999998</v>
      </c>
    </row>
    <row r="42" spans="1:8" ht="17.25" x14ac:dyDescent="0.3">
      <c r="A42" s="13" t="s">
        <v>89</v>
      </c>
      <c r="B42" s="14">
        <v>46159</v>
      </c>
      <c r="C42" s="15" t="s">
        <v>90</v>
      </c>
      <c r="D42" s="15" t="s">
        <v>21</v>
      </c>
      <c r="E42" s="15" t="s">
        <v>103</v>
      </c>
      <c r="F42" s="16">
        <v>390</v>
      </c>
      <c r="G42" s="16">
        <f t="shared" si="0"/>
        <v>70.2</v>
      </c>
      <c r="H42" s="17">
        <f t="shared" si="1"/>
        <v>460.2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E146-55EE-46D9-9D68-3411E6C47E0D}">
  <dimension ref="A1:D43"/>
  <sheetViews>
    <sheetView tabSelected="1" workbookViewId="0">
      <selection activeCell="B18" sqref="B18"/>
    </sheetView>
  </sheetViews>
  <sheetFormatPr baseColWidth="10" defaultRowHeight="15" x14ac:dyDescent="0.25"/>
  <cols>
    <col min="2" max="2" width="22.28515625" customWidth="1"/>
    <col min="3" max="3" width="24.7109375" customWidth="1"/>
    <col min="4" max="4" width="27.7109375" customWidth="1"/>
  </cols>
  <sheetData>
    <row r="1" spans="1:4" ht="28.5" x14ac:dyDescent="0.4">
      <c r="A1" s="21" t="s">
        <v>106</v>
      </c>
      <c r="B1" s="21"/>
      <c r="C1" s="21"/>
      <c r="D1" s="21"/>
    </row>
    <row r="2" spans="1:4" ht="18" x14ac:dyDescent="0.25">
      <c r="A2" s="22" t="s">
        <v>108</v>
      </c>
      <c r="B2" s="22"/>
      <c r="C2" s="22"/>
      <c r="D2" s="22"/>
    </row>
    <row r="3" spans="1:4" x14ac:dyDescent="0.25">
      <c r="A3" s="18" t="s">
        <v>0</v>
      </c>
      <c r="B3" s="18" t="s">
        <v>5</v>
      </c>
      <c r="C3" s="18" t="s">
        <v>40</v>
      </c>
      <c r="D3" s="18" t="s">
        <v>6</v>
      </c>
    </row>
    <row r="4" spans="1:4" ht="17.25" x14ac:dyDescent="0.3">
      <c r="A4" s="19" t="s">
        <v>7</v>
      </c>
      <c r="B4" s="20">
        <v>250</v>
      </c>
      <c r="C4" s="20">
        <f>B4*18%</f>
        <v>45</v>
      </c>
      <c r="D4" s="20">
        <f>B4+C4</f>
        <v>295</v>
      </c>
    </row>
    <row r="5" spans="1:4" ht="17.25" x14ac:dyDescent="0.3">
      <c r="A5" s="19" t="s">
        <v>11</v>
      </c>
      <c r="B5" s="20">
        <v>1200</v>
      </c>
      <c r="C5" s="20">
        <f t="shared" ref="C5:C43" si="0">B5*18%</f>
        <v>216</v>
      </c>
      <c r="D5" s="20">
        <f>B5+C5</f>
        <v>1416</v>
      </c>
    </row>
    <row r="6" spans="1:4" ht="17.25" x14ac:dyDescent="0.3">
      <c r="A6" s="19" t="s">
        <v>15</v>
      </c>
      <c r="B6" s="20">
        <v>1800</v>
      </c>
      <c r="C6" s="20">
        <f t="shared" si="0"/>
        <v>324</v>
      </c>
      <c r="D6" s="20">
        <f>B6+C6</f>
        <v>2124</v>
      </c>
    </row>
    <row r="7" spans="1:4" ht="17.25" x14ac:dyDescent="0.3">
      <c r="A7" s="19" t="s">
        <v>17</v>
      </c>
      <c r="B7" s="20">
        <v>320</v>
      </c>
      <c r="C7" s="20">
        <f t="shared" si="0"/>
        <v>57.599999999999994</v>
      </c>
      <c r="D7" s="20">
        <f>B7+C7</f>
        <v>377.6</v>
      </c>
    </row>
    <row r="8" spans="1:4" ht="17.25" x14ac:dyDescent="0.3">
      <c r="A8" s="19" t="s">
        <v>19</v>
      </c>
      <c r="B8" s="20">
        <v>410</v>
      </c>
      <c r="C8" s="20">
        <f t="shared" si="0"/>
        <v>73.8</v>
      </c>
      <c r="D8" s="20">
        <f>B8-C8</f>
        <v>336.2</v>
      </c>
    </row>
    <row r="9" spans="1:4" ht="17.25" x14ac:dyDescent="0.3">
      <c r="A9" s="19" t="s">
        <v>22</v>
      </c>
      <c r="B9" s="20">
        <v>1450</v>
      </c>
      <c r="C9" s="20">
        <f t="shared" si="0"/>
        <v>261</v>
      </c>
      <c r="D9" s="20">
        <f t="shared" ref="D9:D43" si="1">B9+C9</f>
        <v>1711</v>
      </c>
    </row>
    <row r="10" spans="1:4" ht="17.25" x14ac:dyDescent="0.3">
      <c r="A10" s="19" t="s">
        <v>24</v>
      </c>
      <c r="B10" s="20">
        <v>390</v>
      </c>
      <c r="C10" s="20">
        <f t="shared" si="0"/>
        <v>70.2</v>
      </c>
      <c r="D10" s="20">
        <f t="shared" si="1"/>
        <v>460.2</v>
      </c>
    </row>
    <row r="11" spans="1:4" ht="17.25" x14ac:dyDescent="0.3">
      <c r="A11" s="19" t="s">
        <v>26</v>
      </c>
      <c r="B11" s="20">
        <v>980</v>
      </c>
      <c r="C11" s="20">
        <f t="shared" si="0"/>
        <v>176.4</v>
      </c>
      <c r="D11" s="20">
        <f t="shared" si="1"/>
        <v>1156.4000000000001</v>
      </c>
    </row>
    <row r="12" spans="1:4" ht="17.25" x14ac:dyDescent="0.3">
      <c r="A12" s="19" t="s">
        <v>28</v>
      </c>
      <c r="B12" s="20">
        <v>500</v>
      </c>
      <c r="C12" s="20">
        <f t="shared" si="0"/>
        <v>90</v>
      </c>
      <c r="D12" s="20">
        <f t="shared" si="1"/>
        <v>590</v>
      </c>
    </row>
    <row r="13" spans="1:4" ht="17.25" x14ac:dyDescent="0.3">
      <c r="A13" s="19" t="s">
        <v>30</v>
      </c>
      <c r="B13" s="20">
        <v>2100</v>
      </c>
      <c r="C13" s="20">
        <f t="shared" si="0"/>
        <v>378</v>
      </c>
      <c r="D13" s="20">
        <f t="shared" si="1"/>
        <v>2478</v>
      </c>
    </row>
    <row r="14" spans="1:4" ht="17.25" x14ac:dyDescent="0.3">
      <c r="A14" s="19" t="s">
        <v>32</v>
      </c>
      <c r="B14" s="20">
        <v>340</v>
      </c>
      <c r="C14" s="20">
        <f t="shared" si="0"/>
        <v>61.199999999999996</v>
      </c>
      <c r="D14" s="20">
        <f t="shared" si="1"/>
        <v>401.2</v>
      </c>
    </row>
    <row r="15" spans="1:4" ht="17.25" x14ac:dyDescent="0.3">
      <c r="A15" s="19" t="s">
        <v>34</v>
      </c>
      <c r="B15" s="20">
        <v>1650</v>
      </c>
      <c r="C15" s="20">
        <f t="shared" si="0"/>
        <v>297</v>
      </c>
      <c r="D15" s="20">
        <f t="shared" si="1"/>
        <v>1947</v>
      </c>
    </row>
    <row r="16" spans="1:4" ht="17.25" x14ac:dyDescent="0.3">
      <c r="A16" s="19" t="s">
        <v>36</v>
      </c>
      <c r="B16" s="20">
        <v>430</v>
      </c>
      <c r="C16" s="20">
        <f t="shared" si="0"/>
        <v>77.399999999999991</v>
      </c>
      <c r="D16" s="20">
        <f t="shared" si="1"/>
        <v>507.4</v>
      </c>
    </row>
    <row r="17" spans="1:4" ht="17.25" x14ac:dyDescent="0.3">
      <c r="A17" s="19" t="s">
        <v>38</v>
      </c>
      <c r="B17" s="20">
        <v>620</v>
      </c>
      <c r="C17" s="20">
        <f t="shared" si="0"/>
        <v>111.6</v>
      </c>
      <c r="D17" s="20">
        <f t="shared" si="1"/>
        <v>731.6</v>
      </c>
    </row>
    <row r="18" spans="1:4" ht="17.25" x14ac:dyDescent="0.3">
      <c r="A18" s="19" t="s">
        <v>41</v>
      </c>
      <c r="B18" s="20">
        <v>1950</v>
      </c>
      <c r="C18" s="20">
        <f t="shared" si="0"/>
        <v>351</v>
      </c>
      <c r="D18" s="20">
        <f t="shared" si="1"/>
        <v>2301</v>
      </c>
    </row>
    <row r="19" spans="1:4" ht="17.25" x14ac:dyDescent="0.3">
      <c r="A19" s="19" t="s">
        <v>43</v>
      </c>
      <c r="B19" s="20">
        <v>870</v>
      </c>
      <c r="C19" s="20">
        <f t="shared" si="0"/>
        <v>156.6</v>
      </c>
      <c r="D19" s="20">
        <f t="shared" si="1"/>
        <v>1026.5999999999999</v>
      </c>
    </row>
    <row r="20" spans="1:4" ht="17.25" x14ac:dyDescent="0.3">
      <c r="A20" s="19" t="s">
        <v>45</v>
      </c>
      <c r="B20" s="20">
        <v>300</v>
      </c>
      <c r="C20" s="20">
        <f t="shared" si="0"/>
        <v>54</v>
      </c>
      <c r="D20" s="20">
        <f t="shared" si="1"/>
        <v>354</v>
      </c>
    </row>
    <row r="21" spans="1:4" ht="17.25" x14ac:dyDescent="0.3">
      <c r="A21" s="19" t="s">
        <v>47</v>
      </c>
      <c r="B21" s="20">
        <v>1750</v>
      </c>
      <c r="C21" s="20">
        <f t="shared" si="0"/>
        <v>315</v>
      </c>
      <c r="D21" s="20">
        <f t="shared" si="1"/>
        <v>2065</v>
      </c>
    </row>
    <row r="22" spans="1:4" ht="17.25" x14ac:dyDescent="0.3">
      <c r="A22" s="19" t="s">
        <v>49</v>
      </c>
      <c r="B22" s="20">
        <v>410</v>
      </c>
      <c r="C22" s="20">
        <f t="shared" si="0"/>
        <v>73.8</v>
      </c>
      <c r="D22" s="20">
        <f t="shared" si="1"/>
        <v>483.8</v>
      </c>
    </row>
    <row r="23" spans="1:4" ht="17.25" x14ac:dyDescent="0.3">
      <c r="A23" s="19" t="s">
        <v>51</v>
      </c>
      <c r="B23" s="20">
        <v>1820</v>
      </c>
      <c r="C23" s="20">
        <f t="shared" si="0"/>
        <v>327.59999999999997</v>
      </c>
      <c r="D23" s="20">
        <f t="shared" si="1"/>
        <v>2147.6</v>
      </c>
    </row>
    <row r="24" spans="1:4" ht="17.25" x14ac:dyDescent="0.3">
      <c r="A24" s="19" t="s">
        <v>53</v>
      </c>
      <c r="B24" s="20">
        <v>280</v>
      </c>
      <c r="C24" s="20">
        <f t="shared" si="0"/>
        <v>50.4</v>
      </c>
      <c r="D24" s="20">
        <f t="shared" si="1"/>
        <v>330.4</v>
      </c>
    </row>
    <row r="25" spans="1:4" ht="17.25" x14ac:dyDescent="0.3">
      <c r="A25" s="19" t="s">
        <v>55</v>
      </c>
      <c r="B25" s="20">
        <v>1320</v>
      </c>
      <c r="C25" s="20">
        <f t="shared" si="0"/>
        <v>237.6</v>
      </c>
      <c r="D25" s="20">
        <f t="shared" si="1"/>
        <v>1557.6</v>
      </c>
    </row>
    <row r="26" spans="1:4" ht="17.25" x14ac:dyDescent="0.3">
      <c r="A26" s="19" t="s">
        <v>57</v>
      </c>
      <c r="B26" s="20">
        <v>2050</v>
      </c>
      <c r="C26" s="20">
        <f t="shared" si="0"/>
        <v>369</v>
      </c>
      <c r="D26" s="20">
        <f t="shared" si="1"/>
        <v>2419</v>
      </c>
    </row>
    <row r="27" spans="1:4" ht="17.25" x14ac:dyDescent="0.3">
      <c r="A27" s="19" t="s">
        <v>59</v>
      </c>
      <c r="B27" s="20">
        <v>360</v>
      </c>
      <c r="C27" s="20">
        <f t="shared" si="0"/>
        <v>64.8</v>
      </c>
      <c r="D27" s="20">
        <f t="shared" si="1"/>
        <v>424.8</v>
      </c>
    </row>
    <row r="28" spans="1:4" ht="17.25" x14ac:dyDescent="0.3">
      <c r="A28" s="19" t="s">
        <v>61</v>
      </c>
      <c r="B28" s="20">
        <v>470</v>
      </c>
      <c r="C28" s="20">
        <f t="shared" si="0"/>
        <v>84.6</v>
      </c>
      <c r="D28" s="20">
        <f t="shared" si="1"/>
        <v>554.6</v>
      </c>
    </row>
    <row r="29" spans="1:4" ht="17.25" x14ac:dyDescent="0.3">
      <c r="A29" s="19" t="s">
        <v>63</v>
      </c>
      <c r="B29" s="20">
        <v>1580</v>
      </c>
      <c r="C29" s="20">
        <f t="shared" si="0"/>
        <v>284.39999999999998</v>
      </c>
      <c r="D29" s="20">
        <f t="shared" si="1"/>
        <v>1864.4</v>
      </c>
    </row>
    <row r="30" spans="1:4" ht="17.25" x14ac:dyDescent="0.3">
      <c r="A30" s="19" t="s">
        <v>65</v>
      </c>
      <c r="B30" s="20">
        <v>1090</v>
      </c>
      <c r="C30" s="20">
        <f t="shared" si="0"/>
        <v>196.2</v>
      </c>
      <c r="D30" s="20">
        <f t="shared" si="1"/>
        <v>1286.2</v>
      </c>
    </row>
    <row r="31" spans="1:4" ht="17.25" x14ac:dyDescent="0.3">
      <c r="A31" s="19" t="s">
        <v>67</v>
      </c>
      <c r="B31" s="20">
        <v>540</v>
      </c>
      <c r="C31" s="20">
        <f t="shared" si="0"/>
        <v>97.2</v>
      </c>
      <c r="D31" s="20">
        <f t="shared" si="1"/>
        <v>637.20000000000005</v>
      </c>
    </row>
    <row r="32" spans="1:4" ht="17.25" x14ac:dyDescent="0.3">
      <c r="A32" s="19" t="s">
        <v>69</v>
      </c>
      <c r="B32" s="20">
        <v>2200</v>
      </c>
      <c r="C32" s="20">
        <f t="shared" si="0"/>
        <v>396</v>
      </c>
      <c r="D32" s="20">
        <f t="shared" si="1"/>
        <v>2596</v>
      </c>
    </row>
    <row r="33" spans="1:4" ht="17.25" x14ac:dyDescent="0.3">
      <c r="A33" s="19" t="s">
        <v>71</v>
      </c>
      <c r="B33" s="20">
        <v>380</v>
      </c>
      <c r="C33" s="20">
        <f t="shared" si="0"/>
        <v>68.399999999999991</v>
      </c>
      <c r="D33" s="20">
        <f t="shared" si="1"/>
        <v>448.4</v>
      </c>
    </row>
    <row r="34" spans="1:4" ht="17.25" x14ac:dyDescent="0.3">
      <c r="A34" s="19" t="s">
        <v>73</v>
      </c>
      <c r="B34" s="20">
        <v>1430</v>
      </c>
      <c r="C34" s="20">
        <f t="shared" si="0"/>
        <v>257.39999999999998</v>
      </c>
      <c r="D34" s="20">
        <f t="shared" si="1"/>
        <v>1687.4</v>
      </c>
    </row>
    <row r="35" spans="1:4" ht="17.25" x14ac:dyDescent="0.3">
      <c r="A35" s="19" t="s">
        <v>75</v>
      </c>
      <c r="B35" s="20">
        <v>450</v>
      </c>
      <c r="C35" s="20">
        <f t="shared" si="0"/>
        <v>81</v>
      </c>
      <c r="D35" s="20">
        <f t="shared" si="1"/>
        <v>531</v>
      </c>
    </row>
    <row r="36" spans="1:4" ht="17.25" x14ac:dyDescent="0.3">
      <c r="A36" s="19" t="s">
        <v>77</v>
      </c>
      <c r="B36" s="20">
        <v>1990</v>
      </c>
      <c r="C36" s="20">
        <f t="shared" si="0"/>
        <v>358.2</v>
      </c>
      <c r="D36" s="20">
        <f t="shared" si="1"/>
        <v>2348.1999999999998</v>
      </c>
    </row>
    <row r="37" spans="1:4" ht="17.25" x14ac:dyDescent="0.3">
      <c r="A37" s="19" t="s">
        <v>79</v>
      </c>
      <c r="B37" s="20">
        <v>610</v>
      </c>
      <c r="C37" s="20">
        <f t="shared" si="0"/>
        <v>109.8</v>
      </c>
      <c r="D37" s="20">
        <f t="shared" si="1"/>
        <v>719.8</v>
      </c>
    </row>
    <row r="38" spans="1:4" ht="17.25" x14ac:dyDescent="0.3">
      <c r="A38" s="19" t="s">
        <v>81</v>
      </c>
      <c r="B38" s="20">
        <v>1250</v>
      </c>
      <c r="C38" s="20">
        <f t="shared" si="0"/>
        <v>225</v>
      </c>
      <c r="D38" s="20">
        <f t="shared" si="1"/>
        <v>1475</v>
      </c>
    </row>
    <row r="39" spans="1:4" ht="17.25" x14ac:dyDescent="0.3">
      <c r="A39" s="19" t="s">
        <v>83</v>
      </c>
      <c r="B39" s="20">
        <v>1700</v>
      </c>
      <c r="C39" s="20">
        <f t="shared" si="0"/>
        <v>306</v>
      </c>
      <c r="D39" s="20">
        <f t="shared" si="1"/>
        <v>2006</v>
      </c>
    </row>
    <row r="40" spans="1:4" ht="17.25" x14ac:dyDescent="0.3">
      <c r="A40" s="19" t="s">
        <v>85</v>
      </c>
      <c r="B40" s="20">
        <v>520</v>
      </c>
      <c r="C40" s="20">
        <f t="shared" si="0"/>
        <v>93.6</v>
      </c>
      <c r="D40" s="20">
        <f t="shared" si="1"/>
        <v>613.6</v>
      </c>
    </row>
    <row r="41" spans="1:4" ht="17.25" x14ac:dyDescent="0.3">
      <c r="A41" s="19" t="s">
        <v>87</v>
      </c>
      <c r="B41" s="20">
        <v>2140</v>
      </c>
      <c r="C41" s="20">
        <f t="shared" si="0"/>
        <v>385.2</v>
      </c>
      <c r="D41" s="20">
        <f t="shared" si="1"/>
        <v>2525.1999999999998</v>
      </c>
    </row>
    <row r="42" spans="1:4" ht="17.25" x14ac:dyDescent="0.3">
      <c r="A42" s="19" t="s">
        <v>89</v>
      </c>
      <c r="B42" s="20">
        <v>390</v>
      </c>
      <c r="C42" s="20">
        <f t="shared" si="0"/>
        <v>70.2</v>
      </c>
      <c r="D42" s="20">
        <f t="shared" si="1"/>
        <v>460.2</v>
      </c>
    </row>
    <row r="43" spans="1:4" ht="17.25" x14ac:dyDescent="0.3">
      <c r="A43" s="19" t="s">
        <v>105</v>
      </c>
      <c r="B43" s="20">
        <v>1880</v>
      </c>
      <c r="C43" s="20">
        <f t="shared" si="0"/>
        <v>338.4</v>
      </c>
      <c r="D43" s="20">
        <f t="shared" si="1"/>
        <v>2218.4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4DE0-0EC9-424F-B56C-76A9C21DC1C7}">
  <dimension ref="A3:B17"/>
  <sheetViews>
    <sheetView workbookViewId="0">
      <selection activeCell="A29" sqref="A29:A30"/>
    </sheetView>
  </sheetViews>
  <sheetFormatPr baseColWidth="10" defaultRowHeight="15" x14ac:dyDescent="0.25"/>
  <cols>
    <col min="1" max="1" width="21" bestFit="1" customWidth="1"/>
    <col min="2" max="2" width="24.28515625" bestFit="1" customWidth="1"/>
  </cols>
  <sheetData>
    <row r="3" spans="1:2" x14ac:dyDescent="0.25">
      <c r="A3" s="1" t="s">
        <v>104</v>
      </c>
      <c r="B3" t="s">
        <v>92</v>
      </c>
    </row>
    <row r="4" spans="1:2" x14ac:dyDescent="0.25">
      <c r="A4" s="2" t="s">
        <v>14</v>
      </c>
      <c r="B4" s="3">
        <v>11</v>
      </c>
    </row>
    <row r="5" spans="1:2" x14ac:dyDescent="0.25">
      <c r="A5" s="2" t="s">
        <v>10</v>
      </c>
      <c r="B5" s="3">
        <v>4</v>
      </c>
    </row>
    <row r="6" spans="1:2" x14ac:dyDescent="0.25">
      <c r="A6" s="2" t="s">
        <v>93</v>
      </c>
      <c r="B6" s="3">
        <v>3</v>
      </c>
    </row>
    <row r="7" spans="1:2" x14ac:dyDescent="0.25">
      <c r="A7" s="2" t="s">
        <v>94</v>
      </c>
      <c r="B7" s="3">
        <v>2</v>
      </c>
    </row>
    <row r="8" spans="1:2" x14ac:dyDescent="0.25">
      <c r="A8" s="2" t="s">
        <v>95</v>
      </c>
      <c r="B8" s="3">
        <v>3</v>
      </c>
    </row>
    <row r="9" spans="1:2" x14ac:dyDescent="0.25">
      <c r="A9" s="2" t="s">
        <v>96</v>
      </c>
      <c r="B9" s="3">
        <v>3</v>
      </c>
    </row>
    <row r="10" spans="1:2" x14ac:dyDescent="0.25">
      <c r="A10" s="2" t="s">
        <v>97</v>
      </c>
      <c r="B10" s="3">
        <v>3</v>
      </c>
    </row>
    <row r="11" spans="1:2" x14ac:dyDescent="0.25">
      <c r="A11" s="2" t="s">
        <v>98</v>
      </c>
      <c r="B11" s="3">
        <v>2</v>
      </c>
    </row>
    <row r="12" spans="1:2" x14ac:dyDescent="0.25">
      <c r="A12" s="2" t="s">
        <v>99</v>
      </c>
      <c r="B12" s="3">
        <v>1</v>
      </c>
    </row>
    <row r="13" spans="1:2" x14ac:dyDescent="0.25">
      <c r="A13" s="2" t="s">
        <v>100</v>
      </c>
      <c r="B13" s="3">
        <v>2</v>
      </c>
    </row>
    <row r="14" spans="1:2" x14ac:dyDescent="0.25">
      <c r="A14" s="2" t="s">
        <v>101</v>
      </c>
      <c r="B14" s="3">
        <v>2</v>
      </c>
    </row>
    <row r="15" spans="1:2" x14ac:dyDescent="0.25">
      <c r="A15" s="2" t="s">
        <v>102</v>
      </c>
      <c r="B15" s="3">
        <v>2</v>
      </c>
    </row>
    <row r="16" spans="1:2" x14ac:dyDescent="0.25">
      <c r="A16" s="2" t="s">
        <v>103</v>
      </c>
      <c r="B16" s="3">
        <v>1</v>
      </c>
    </row>
    <row r="17" spans="1:2" x14ac:dyDescent="0.25">
      <c r="A17" s="2" t="s">
        <v>91</v>
      </c>
      <c r="B17" s="3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A590-98FE-4AA7-86E4-0B4377B153F7}">
  <dimension ref="A1"/>
  <sheetViews>
    <sheetView workbookViewId="0">
      <selection activeCell="F16" sqref="F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 </vt:lpstr>
      <vt:lpstr>Factures </vt:lpstr>
      <vt:lpstr>Type factures 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ASSEMIEN</dc:creator>
  <cp:lastModifiedBy>Serge ASSEMIEN</cp:lastModifiedBy>
  <dcterms:created xsi:type="dcterms:W3CDTF">2026-08-04T17:42:15Z</dcterms:created>
  <dcterms:modified xsi:type="dcterms:W3CDTF">2026-08-07T04:26:52Z</dcterms:modified>
</cp:coreProperties>
</file>
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\Test Blanc 2\"/>
    </mc:Choice>
  </mc:AlternateContent>
  <xr:revisionPtr revIDLastSave="0" documentId="13_ncr:1_{10102BF6-62EE-425D-9BA0-5835207CC949}" xr6:coauthVersionLast="47" xr6:coauthVersionMax="47" xr10:uidLastSave="{00000000-0000-0000-0000-000000000000}"/>
  <bookViews>
    <workbookView xWindow="-120" yWindow="-120" windowWidth="21840" windowHeight="13140" activeTab="5" xr2:uid="{00000000-000D-0000-FFFF-FFFF00000000}"/>
  </bookViews>
  <sheets>
    <sheet name="Prix" sheetId="13" r:id="rId1"/>
    <sheet name="Clients" sheetId="3" r:id="rId2"/>
    <sheet name="Extension de bureau" sheetId="4" r:id="rId3"/>
    <sheet name="Marketing" sheetId="5" r:id="rId4"/>
    <sheet name="Donées locations" sheetId="6" r:id="rId5"/>
    <sheet name="Analyse des locations" sheetId="22" r:id="rId6"/>
  </sheets>
  <definedNames>
    <definedName name="Prix">Prix!$A$4:$L$48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3" l="1"/>
  <c r="J10" i="13" s="1"/>
  <c r="I17" i="13"/>
  <c r="J17" i="13" s="1"/>
  <c r="I25" i="13"/>
  <c r="J25" i="13" s="1"/>
  <c r="I37" i="13"/>
  <c r="J37" i="13" s="1"/>
  <c r="I44" i="13"/>
  <c r="J44" i="13" s="1"/>
  <c r="I48" i="13"/>
  <c r="J48" i="13" s="1"/>
  <c r="I47" i="13"/>
  <c r="J47" i="13" s="1"/>
  <c r="I45" i="13"/>
  <c r="J45" i="13" s="1"/>
  <c r="I41" i="13"/>
  <c r="J41" i="13" s="1"/>
  <c r="I40" i="13"/>
  <c r="J40" i="13" s="1"/>
  <c r="I46" i="13"/>
  <c r="J46" i="13" s="1"/>
  <c r="I43" i="13"/>
  <c r="J43" i="13" s="1"/>
  <c r="I42" i="13"/>
  <c r="J42" i="13" s="1"/>
  <c r="I39" i="13"/>
  <c r="J39" i="13" s="1"/>
  <c r="I38" i="13"/>
  <c r="J38" i="13" s="1"/>
  <c r="I36" i="13"/>
  <c r="J36" i="13" s="1"/>
  <c r="I35" i="13"/>
  <c r="J35" i="13" s="1"/>
  <c r="I34" i="13"/>
  <c r="J34" i="13" s="1"/>
  <c r="I33" i="13"/>
  <c r="J33" i="13" s="1"/>
  <c r="I32" i="13"/>
  <c r="J32" i="13" s="1"/>
  <c r="I31" i="13"/>
  <c r="J31" i="13" s="1"/>
  <c r="J30" i="13"/>
  <c r="I30" i="13"/>
  <c r="I29" i="13"/>
  <c r="J29" i="13" s="1"/>
  <c r="I28" i="13"/>
  <c r="J28" i="13" s="1"/>
  <c r="I27" i="13"/>
  <c r="J27" i="13" s="1"/>
  <c r="I26" i="13"/>
  <c r="J26" i="13" s="1"/>
  <c r="J24" i="13"/>
  <c r="I24" i="13"/>
  <c r="I23" i="13"/>
  <c r="J23" i="13" s="1"/>
  <c r="I22" i="13"/>
  <c r="J22" i="13" s="1"/>
  <c r="I21" i="13"/>
  <c r="J21" i="13" s="1"/>
  <c r="I20" i="13"/>
  <c r="J20" i="13" s="1"/>
  <c r="I19" i="13"/>
  <c r="J19" i="13" s="1"/>
  <c r="J18" i="13"/>
  <c r="I18" i="13"/>
  <c r="I16" i="13"/>
  <c r="J16" i="13" s="1"/>
  <c r="I15" i="13"/>
  <c r="J15" i="13" s="1"/>
  <c r="I14" i="13"/>
  <c r="J14" i="13" s="1"/>
  <c r="I13" i="13"/>
  <c r="J13" i="13" s="1"/>
  <c r="J12" i="13"/>
  <c r="I12" i="13"/>
  <c r="I11" i="13"/>
  <c r="J11" i="13" s="1"/>
  <c r="I9" i="13"/>
  <c r="J9" i="13" s="1"/>
  <c r="J8" i="13"/>
  <c r="I8" i="13"/>
  <c r="I7" i="13"/>
  <c r="J7" i="13" s="1"/>
  <c r="J6" i="13"/>
  <c r="I6" i="13"/>
  <c r="I5" i="13"/>
  <c r="J5" i="13" s="1"/>
  <c r="I4" i="13"/>
  <c r="J4" i="13" s="1"/>
</calcChain>
</file>

<file path=xl/sharedStrings.xml><?xml version="1.0" encoding="utf-8"?>
<sst xmlns="http://schemas.openxmlformats.org/spreadsheetml/2006/main" count="505" uniqueCount="223">
  <si>
    <t>Code</t>
  </si>
  <si>
    <t>Produit</t>
  </si>
  <si>
    <t>Catégorie</t>
  </si>
  <si>
    <t>Marque</t>
  </si>
  <si>
    <t>Fournisseur</t>
  </si>
  <si>
    <t>Ville</t>
  </si>
  <si>
    <t>Qté</t>
  </si>
  <si>
    <t>Prix Achat</t>
  </si>
  <si>
    <t>Prix Vente</t>
  </si>
  <si>
    <t>Date</t>
  </si>
  <si>
    <t>Statut</t>
  </si>
  <si>
    <t>P001</t>
  </si>
  <si>
    <t>Abidjan</t>
  </si>
  <si>
    <t>Actif</t>
  </si>
  <si>
    <t>P002</t>
  </si>
  <si>
    <t>P003</t>
  </si>
  <si>
    <t>P004</t>
  </si>
  <si>
    <t>P005</t>
  </si>
  <si>
    <t>P006</t>
  </si>
  <si>
    <t>P008</t>
  </si>
  <si>
    <t>P009</t>
  </si>
  <si>
    <t>P010</t>
  </si>
  <si>
    <t>P011</t>
  </si>
  <si>
    <t>P012</t>
  </si>
  <si>
    <t>P013</t>
  </si>
  <si>
    <t>P015</t>
  </si>
  <si>
    <t>P016</t>
  </si>
  <si>
    <t>P017</t>
  </si>
  <si>
    <t>P018</t>
  </si>
  <si>
    <t>P019</t>
  </si>
  <si>
    <t>P020</t>
  </si>
  <si>
    <t>P021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</si>
  <si>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</si>
  <si>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</si>
  <si>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</si>
  <si>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</si>
  <si>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</si>
  <si>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</si>
  <si>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</si>
  <si>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</si>
  <si>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</si>
  <si>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</si>
  <si>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</si>
  <si>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P035</t>
  </si>
  <si>
    <t>P036</t>
  </si>
  <si>
    <t>P040</t>
  </si>
  <si>
    <t>Nom</t>
  </si>
  <si>
    <t>Age</t>
  </si>
  <si>
    <t>Durée du séjour</t>
  </si>
  <si>
    <t>Budget</t>
  </si>
  <si>
    <t>Téléphone</t>
  </si>
  <si>
    <t>Hiver</t>
  </si>
  <si>
    <t>Printemps</t>
  </si>
  <si>
    <t>Automne</t>
  </si>
  <si>
    <t>Été</t>
  </si>
  <si>
    <t>Montant emprunté</t>
  </si>
  <si>
    <t>Taux annuel</t>
  </si>
  <si>
    <t>Paiement mensuel</t>
  </si>
  <si>
    <t>Juin</t>
  </si>
  <si>
    <t>Offres envoyées</t>
  </si>
  <si>
    <t>Ventes conclues</t>
  </si>
  <si>
    <t>Secteur</t>
  </si>
  <si>
    <t>Type location</t>
  </si>
  <si>
    <t>Nombre locations</t>
  </si>
  <si>
    <t>Revenu</t>
  </si>
  <si>
    <t>Centre</t>
  </si>
  <si>
    <t>Cottage</t>
  </si>
  <si>
    <t>Nord</t>
  </si>
  <si>
    <t>Sud</t>
  </si>
  <si>
    <t>Est</t>
  </si>
  <si>
    <t>Ouest</t>
  </si>
  <si>
    <t>Villa</t>
  </si>
  <si>
    <t>Appartement</t>
  </si>
  <si>
    <t>Studio</t>
  </si>
  <si>
    <t>Inactif</t>
  </si>
  <si>
    <t>Aboisso</t>
  </si>
  <si>
    <t>Man</t>
  </si>
  <si>
    <t>Bonoua</t>
  </si>
  <si>
    <t>Yamoussoukro</t>
  </si>
  <si>
    <t>Bouaké</t>
  </si>
  <si>
    <t>Korhogo</t>
  </si>
  <si>
    <t>Daloa</t>
  </si>
  <si>
    <t>San-Pédro</t>
  </si>
  <si>
    <t>Soubré</t>
  </si>
  <si>
    <t>Duékoué</t>
  </si>
  <si>
    <t>Bouaflé</t>
  </si>
  <si>
    <t>Anyama</t>
  </si>
  <si>
    <t>Guiglo</t>
  </si>
  <si>
    <t>Lakota</t>
  </si>
  <si>
    <t>Abengourou</t>
  </si>
  <si>
    <t>Ferkessédougou</t>
  </si>
  <si>
    <t>Adzopé</t>
  </si>
  <si>
    <t>Bondoukou</t>
  </si>
  <si>
    <t>Dabou</t>
  </si>
  <si>
    <t>Vavoua</t>
  </si>
  <si>
    <t>Danané</t>
  </si>
  <si>
    <t>Oumé</t>
  </si>
  <si>
    <t>Issia</t>
  </si>
  <si>
    <t>Grand-Bassam</t>
  </si>
  <si>
    <t>Séguéla</t>
  </si>
  <si>
    <t>Daoukro</t>
  </si>
  <si>
    <t>Boundiali</t>
  </si>
  <si>
    <t>Bouna</t>
  </si>
  <si>
    <t>Katiola</t>
  </si>
  <si>
    <t>Jacqueville</t>
  </si>
  <si>
    <t>Grand-Lahou</t>
  </si>
  <si>
    <t>Tengréla</t>
  </si>
  <si>
    <t>CFAO Equipment</t>
  </si>
  <si>
    <t>Bureau Vallée Côte d'Ivoire</t>
  </si>
  <si>
    <t>Librairie de France Groupe</t>
  </si>
  <si>
    <t>SACI</t>
  </si>
  <si>
    <t>Office Store CI</t>
  </si>
  <si>
    <t>SOTEFI</t>
  </si>
  <si>
    <t>Grafica Ivoire</t>
  </si>
  <si>
    <t>Ivoire Bureau</t>
  </si>
  <si>
    <t>Mobilier de bureau</t>
  </si>
  <si>
    <t>Top Bureau CI</t>
  </si>
  <si>
    <t>HP (Hewlett-Packard)</t>
  </si>
  <si>
    <t>Dell</t>
  </si>
  <si>
    <t>Lenovo</t>
  </si>
  <si>
    <t>ASUS</t>
  </si>
  <si>
    <t>Acer</t>
  </si>
  <si>
    <t>Apple</t>
  </si>
  <si>
    <t>MSI</t>
  </si>
  <si>
    <t>Samsung</t>
  </si>
  <si>
    <t>Microsoft</t>
  </si>
  <si>
    <t>Toshiba/Dynabook</t>
  </si>
  <si>
    <t>Fujitsu</t>
  </si>
  <si>
    <t>Huawei</t>
  </si>
  <si>
    <t>Ordinateurs</t>
  </si>
  <si>
    <t>Imprimantes</t>
  </si>
  <si>
    <t>Périphériques</t>
  </si>
  <si>
    <t>Réseau</t>
  </si>
  <si>
    <t>Stockage</t>
  </si>
  <si>
    <t>Énergie</t>
  </si>
  <si>
    <t>Fournitures de bureau</t>
  </si>
  <si>
    <t>Consommables</t>
  </si>
  <si>
    <t>Téléphonie</t>
  </si>
  <si>
    <t>Vidéoprojecteurs</t>
  </si>
  <si>
    <t>Sécurité informatique</t>
  </si>
  <si>
    <t>Ordinateur portable HP</t>
  </si>
  <si>
    <t>Ordinateur portable Dell</t>
  </si>
  <si>
    <t>Ordinateur de bureau Lenovo</t>
  </si>
  <si>
    <t>Imprimante LaserJet</t>
  </si>
  <si>
    <t>Imprimante multifonction</t>
  </si>
  <si>
    <t>Disque dur externe</t>
  </si>
  <si>
    <t>Clé USB 32 Go</t>
  </si>
  <si>
    <t>Routeur Wi-Fi</t>
  </si>
  <si>
    <t>Switch 24 ports</t>
  </si>
  <si>
    <t>Onduleur 650 VA</t>
  </si>
  <si>
    <t>Clavier USB</t>
  </si>
  <si>
    <t>Souris optique</t>
  </si>
  <si>
    <t>Webcam HD</t>
  </si>
  <si>
    <t>Bureau administratif</t>
  </si>
  <si>
    <t>Fauteuil de bureau</t>
  </si>
  <si>
    <t>Armoire métallique</t>
  </si>
  <si>
    <t>Ramette de papier A4</t>
  </si>
  <si>
    <t>Stylo à bille</t>
  </si>
  <si>
    <t>Cahier</t>
  </si>
  <si>
    <t>Cartouche d'encre</t>
  </si>
  <si>
    <t>Toner d'imprimante</t>
  </si>
  <si>
    <t>Téléphone IP</t>
  </si>
  <si>
    <t>Smartphone professionnel</t>
  </si>
  <si>
    <t>Sacoche pour ordinateur</t>
  </si>
  <si>
    <t>Multiprise parafoudre</t>
  </si>
  <si>
    <t xml:space="preserve">Nouveaux Établissements Barry </t>
  </si>
  <si>
    <t>Nouveaux Établissements Barry</t>
  </si>
  <si>
    <t>TVA
18%</t>
  </si>
  <si>
    <t>Voyages Margie’s</t>
  </si>
  <si>
    <t>AKOSSI</t>
  </si>
  <si>
    <t>EPINZA</t>
  </si>
  <si>
    <t>DIANE</t>
  </si>
  <si>
    <t>ASSEMIEN</t>
  </si>
  <si>
    <t>TAHI</t>
  </si>
  <si>
    <t>BEHIBRO</t>
  </si>
  <si>
    <t>SANE</t>
  </si>
  <si>
    <t>BEZEME</t>
  </si>
  <si>
    <t>TRAZIE</t>
  </si>
  <si>
    <t>JEREMIE</t>
  </si>
  <si>
    <t>FORTUNE</t>
  </si>
  <si>
    <t>ANDERSON</t>
  </si>
  <si>
    <t>CHRISTIAN</t>
  </si>
  <si>
    <t>SIBAHI</t>
  </si>
  <si>
    <t>KOSSONOU</t>
  </si>
  <si>
    <t>ADJA</t>
  </si>
  <si>
    <t>LEON</t>
  </si>
  <si>
    <t>LEA</t>
  </si>
  <si>
    <t>TAPE</t>
  </si>
  <si>
    <t>ARIEL</t>
  </si>
  <si>
    <t>ADOU</t>
  </si>
  <si>
    <t>WADJA</t>
  </si>
  <si>
    <t>THIMOTE</t>
  </si>
  <si>
    <t>DEGAUL</t>
  </si>
  <si>
    <t>OUATTARA</t>
  </si>
  <si>
    <t>ZIRIGNON</t>
  </si>
  <si>
    <t>KONATE</t>
  </si>
  <si>
    <t>DIBO</t>
  </si>
  <si>
    <t>RICHARD</t>
  </si>
  <si>
    <t>VINVENT</t>
  </si>
  <si>
    <t>GOMIS</t>
  </si>
  <si>
    <t>ELIANE</t>
  </si>
  <si>
    <t>MARIE</t>
  </si>
  <si>
    <t>FELICIA</t>
  </si>
  <si>
    <t>AGNES</t>
  </si>
  <si>
    <t>VALERIE</t>
  </si>
  <si>
    <t>STEPHANE</t>
  </si>
  <si>
    <t>STEPHANIE</t>
  </si>
  <si>
    <t>LOUKOU</t>
  </si>
  <si>
    <t>ADJAGBE</t>
  </si>
  <si>
    <t>Nbre clients Été et séjour &gt; 7 jours</t>
  </si>
  <si>
    <t>Préférence 
de voyages</t>
  </si>
  <si>
    <t>Nombre de mois 
pour payer l'emprunt</t>
  </si>
  <si>
    <t>Avril</t>
  </si>
  <si>
    <t>Mai</t>
  </si>
  <si>
    <t>Description de campagne</t>
  </si>
  <si>
    <t>Visiteurs du site web</t>
  </si>
  <si>
    <t>Prospects identifiés</t>
  </si>
  <si>
    <t>Leads qualifiés</t>
  </si>
  <si>
    <t>Rendez-vous obtenus</t>
  </si>
  <si>
    <t>Total général</t>
  </si>
  <si>
    <t>Somme de Nombre locations</t>
  </si>
  <si>
    <t>(Tous)</t>
  </si>
  <si>
    <t>Secteurs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</si>
</sst>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164" formatCode="#,##0\ &quot;€&quot;"/>
    <numFmt numFmtId="165" formatCode="0&quot; ans&quot;"/>
    <numFmt numFmtId="166" formatCode="0000000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4"/>
      <color theme="1"/>
      <name val="Century Gothic"/>
      <family val="2"/>
    </font>
    <font>
      <b/>
      <sz val="26"/>
      <color theme="1"/>
      <name val="Century Gothic"/>
      <family val="2"/>
    </font>
    <font>
      <b/>
      <sz val="12"/>
      <color theme="1"/>
      <name val="Century Gothic"/>
      <family val="2"/>
    </font>
    <font>
      <sz val="14"/>
      <color rgb="FFFF0000"/>
      <name val="Century Gothic"/>
      <family val="2"/>
    </font>
    <font>
      <b/>
      <sz val="18"/>
      <color theme="1"/>
      <name val="Century Gothic"/>
      <family val="2"/>
    </font>
    <font>
      <b/>
      <sz val="14"/>
      <color theme="1"/>
      <name val="Century Gothic"/>
      <family val="2"/>
    </font>
    <font>
      <b/>
      <sz val="13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14" fontId="3" fillId="3" borderId="1" xfId="0" applyNumberFormat="1" applyFont="1" applyFill="1" applyBorder="1" applyAlignment="1">
      <alignment vertical="center"/>
    </xf>
    <xf numFmtId="0" fontId="8" fillId="0" borderId="1" xfId="0" applyFont="1" applyBorder="1"/>
    <xf numFmtId="0" fontId="3" fillId="5" borderId="1" xfId="0" applyFont="1" applyFill="1" applyBorder="1" applyAlignment="1">
      <alignment vertical="center" wrapText="1"/>
    </xf>
    <xf numFmtId="166" fontId="2" fillId="5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6" fontId="0" fillId="0" borderId="0" xfId="0" applyNumberFormat="1"/>
    <xf numFmtId="0" fontId="5" fillId="7" borderId="1" xfId="0" applyFont="1" applyFill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0" fontId="5" fillId="7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7" borderId="1" xfId="0" applyFont="1" applyFill="1" applyBorder="1"/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12" fillId="7" borderId="1" xfId="0" applyFont="1" applyFill="1" applyBorder="1" applyAlignment="1">
      <alignment wrapText="1"/>
    </xf>
    <xf numFmtId="1" fontId="11" fillId="0" borderId="1" xfId="0" applyNumberFormat="1" applyFont="1" applyBorder="1" applyAlignment="1">
      <alignment horizontal="right" vertical="center"/>
    </xf>
    <xf numFmtId="0" fontId="7" fillId="3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0" borderId="1" xfId="0" applyFont="1" applyBorder="1" applyAlignment="1"/>
    <xf numFmtId="0" fontId="9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40.523383680556" createdVersion="8" refreshedVersion="8" minRefreshableVersion="3" recordCount="10" xr:uid="{CEC150D8-C5AD-41B3-9124-981A3C59E7E6}">
  <cacheSource type="worksheet">
    <worksheetSource ref="A1:D11" sheet="Donées locations"/>
  </cacheSource>
  <cacheFields count="4">
    <cacheField name="Secteur" numFmtId="0">
      <sharedItems count="5">
        <s v="Centre"/>
        <s v="Nord"/>
        <s v="Sud"/>
        <s v="Est"/>
        <s v="Ouest"/>
      </sharedItems>
    </cacheField>
    <cacheField name="Type location" numFmtId="0">
      <sharedItems count="4">
        <s v="Cottage"/>
        <s v="Villa"/>
        <s v="Appartement"/>
        <s v="Studio"/>
      </sharedItems>
    </cacheField>
    <cacheField name="Nombre locations" numFmtId="0">
      <sharedItems containsSemiMixedTypes="0" containsString="0" containsNumber="1" containsInteger="1" minValue="8" maxValue="30"/>
    </cacheField>
    <cacheField name="Revenu" numFmtId="164">
      <sharedItems containsSemiMixedTypes="0" containsString="0" containsNumber="1" containsInteger="1" minValue="550000" maxValue="1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5"/>
    <n v="1250000"/>
  </r>
  <r>
    <x v="1"/>
    <x v="0"/>
    <n v="18"/>
    <n v="900000"/>
  </r>
  <r>
    <x v="2"/>
    <x v="0"/>
    <n v="15"/>
    <n v="750000"/>
  </r>
  <r>
    <x v="3"/>
    <x v="0"/>
    <n v="12"/>
    <n v="600000"/>
  </r>
  <r>
    <x v="4"/>
    <x v="0"/>
    <n v="20"/>
    <n v="1000000"/>
  </r>
  <r>
    <x v="0"/>
    <x v="1"/>
    <n v="10"/>
    <n v="1800000"/>
  </r>
  <r>
    <x v="1"/>
    <x v="2"/>
    <n v="30"/>
    <n v="1200000"/>
  </r>
  <r>
    <x v="2"/>
    <x v="3"/>
    <n v="22"/>
    <n v="550000"/>
  </r>
  <r>
    <x v="3"/>
    <x v="1"/>
    <n v="8"/>
    <n v="1400000"/>
  </r>
  <r>
    <x v="4"/>
    <x v="2"/>
    <n v="28"/>
    <n v="1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1C2E5-14B0-4437-9F99-5C9CE9E25FBC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cteurs">
  <location ref="A3:B9" firstHeaderRow="1" firstDataRow="1" firstDataCol="1" rowPageCount="1" colPageCount="1"/>
  <pivotFields count="4">
    <pivotField axis="axisRow" showAll="0">
      <items count="6">
        <item x="0"/>
        <item x="3"/>
        <item x="1"/>
        <item x="4"/>
        <item x="2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dataField="1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omme de Nombre location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E412-C51A-4C30-9BB5-7EAB4A92AD37}">
  <dimension ref="A1:L48"/>
  <sheetViews>
    <sheetView topLeftCell="C37" zoomScaleNormal="100" workbookViewId="0">
      <selection activeCell="L48" sqref="L48"/>
    </sheetView>
  </sheetViews>
  <sheetFormatPr baseColWidth="10" defaultColWidth="9.140625" defaultRowHeight="15" x14ac:dyDescent="0.25"/>
  <cols>
    <col min="1" max="1" width="10" customWidth="1"/>
    <col min="2" max="2" width="37.28515625" customWidth="1"/>
    <col min="3" max="3" width="25.85546875" bestFit="1" customWidth="1"/>
    <col min="4" max="4" width="25.5703125" bestFit="1" customWidth="1"/>
    <col min="5" max="5" width="37.42578125" customWidth="1"/>
    <col min="6" max="6" width="20.42578125" customWidth="1"/>
    <col min="7" max="7" width="7.5703125" style="2" customWidth="1"/>
    <col min="8" max="8" width="12.28515625" style="2" customWidth="1"/>
    <col min="9" max="9" width="12.85546875" style="3" customWidth="1"/>
    <col min="10" max="10" width="12.7109375" style="2" customWidth="1"/>
    <col min="11" max="11" width="13.7109375" customWidth="1"/>
    <col min="12" max="12" width="10.28515625" customWidth="1"/>
  </cols>
  <sheetData>
    <row r="1" spans="1:12" ht="32.25" x14ac:dyDescent="0.4">
      <c r="A1" s="42" t="s">
        <v>168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25">
      <c r="A2" s="12"/>
      <c r="B2" s="12"/>
      <c r="C2" s="12"/>
      <c r="D2" s="12"/>
      <c r="E2" s="12"/>
      <c r="F2" s="12"/>
      <c r="G2" s="13"/>
      <c r="H2" s="13"/>
      <c r="I2" s="14"/>
      <c r="J2" s="13"/>
      <c r="K2" s="12"/>
      <c r="L2" s="12"/>
    </row>
    <row r="3" spans="1:12" ht="31.5" customHeight="1" x14ac:dyDescent="0.25">
      <c r="A3" s="6" t="s">
        <v>0</v>
      </c>
      <c r="B3" s="6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167</v>
      </c>
      <c r="K3" s="7" t="s">
        <v>9</v>
      </c>
      <c r="L3" s="7" t="s">
        <v>10</v>
      </c>
    </row>
    <row r="4" spans="1:12" ht="20.25" customHeight="1" x14ac:dyDescent="0.25">
      <c r="A4" s="9" t="s">
        <v>11</v>
      </c>
      <c r="B4" s="9" t="s">
        <v>140</v>
      </c>
      <c r="C4" s="9" t="s">
        <v>129</v>
      </c>
      <c r="D4" s="9" t="s">
        <v>117</v>
      </c>
      <c r="E4" s="9" t="s">
        <v>107</v>
      </c>
      <c r="F4" s="9" t="s">
        <v>12</v>
      </c>
      <c r="G4" s="10">
        <v>11</v>
      </c>
      <c r="H4" s="10">
        <v>1020</v>
      </c>
      <c r="I4" s="11">
        <f>H4*G4</f>
        <v>11220</v>
      </c>
      <c r="J4" s="11">
        <f>I4*18%</f>
        <v>2019.6</v>
      </c>
      <c r="K4" s="15">
        <v>46239</v>
      </c>
      <c r="L4" s="10" t="s">
        <v>13</v>
      </c>
    </row>
    <row r="5" spans="1:12" ht="17.25" x14ac:dyDescent="0.25">
      <c r="A5" s="9" t="s">
        <v>14</v>
      </c>
      <c r="B5" s="9" t="s">
        <v>141</v>
      </c>
      <c r="C5" s="9" t="s">
        <v>130</v>
      </c>
      <c r="D5" s="9" t="s">
        <v>118</v>
      </c>
      <c r="E5" s="9" t="s">
        <v>108</v>
      </c>
      <c r="F5" s="9" t="s">
        <v>78</v>
      </c>
      <c r="G5" s="10">
        <v>12</v>
      </c>
      <c r="H5" s="10">
        <v>1040</v>
      </c>
      <c r="I5" s="11">
        <f t="shared" ref="I5:I46" si="0">H5*G5</f>
        <v>12480</v>
      </c>
      <c r="J5" s="11">
        <f t="shared" ref="J5:J48" si="1">I5*18%</f>
        <v>2246.4</v>
      </c>
      <c r="K5" s="15">
        <v>46240</v>
      </c>
      <c r="L5" s="10" t="s">
        <v>74</v>
      </c>
    </row>
    <row r="6" spans="1:12" ht="18.75" customHeight="1" x14ac:dyDescent="0.25">
      <c r="A6" s="9" t="s">
        <v>15</v>
      </c>
      <c r="B6" s="9" t="s">
        <v>142</v>
      </c>
      <c r="C6" s="9" t="s">
        <v>131</v>
      </c>
      <c r="D6" s="9" t="s">
        <v>119</v>
      </c>
      <c r="E6" s="9" t="s">
        <v>109</v>
      </c>
      <c r="F6" s="9" t="s">
        <v>79</v>
      </c>
      <c r="G6" s="10">
        <v>13</v>
      </c>
      <c r="H6" s="10">
        <v>1060</v>
      </c>
      <c r="I6" s="11">
        <f t="shared" si="0"/>
        <v>13780</v>
      </c>
      <c r="J6" s="11">
        <f t="shared" si="1"/>
        <v>2480.4</v>
      </c>
      <c r="K6" s="15">
        <v>46241</v>
      </c>
      <c r="L6" s="10" t="s">
        <v>13</v>
      </c>
    </row>
    <row r="7" spans="1:12" ht="17.25" x14ac:dyDescent="0.25">
      <c r="A7" s="9" t="s">
        <v>16</v>
      </c>
      <c r="B7" s="9" t="s">
        <v>143</v>
      </c>
      <c r="C7" s="9" t="s">
        <v>132</v>
      </c>
      <c r="D7" s="9" t="s">
        <v>120</v>
      </c>
      <c r="E7" s="9" t="s">
        <v>110</v>
      </c>
      <c r="F7" s="9" t="s">
        <v>80</v>
      </c>
      <c r="G7" s="10">
        <v>14</v>
      </c>
      <c r="H7" s="10">
        <v>1080</v>
      </c>
      <c r="I7" s="11">
        <f t="shared" si="0"/>
        <v>15120</v>
      </c>
      <c r="J7" s="11">
        <f t="shared" si="1"/>
        <v>2721.6</v>
      </c>
      <c r="K7" s="15">
        <v>46242</v>
      </c>
      <c r="L7" s="10" t="s">
        <v>74</v>
      </c>
    </row>
    <row r="8" spans="1:12" ht="17.25" x14ac:dyDescent="0.25">
      <c r="A8" s="9" t="s">
        <v>17</v>
      </c>
      <c r="B8" s="9" t="s">
        <v>144</v>
      </c>
      <c r="C8" s="9" t="s">
        <v>133</v>
      </c>
      <c r="D8" s="9" t="s">
        <v>122</v>
      </c>
      <c r="E8" s="9" t="s">
        <v>111</v>
      </c>
      <c r="F8" s="9" t="s">
        <v>81</v>
      </c>
      <c r="G8" s="10">
        <v>15</v>
      </c>
      <c r="H8" s="10">
        <v>1100</v>
      </c>
      <c r="I8" s="11">
        <f t="shared" si="0"/>
        <v>16500</v>
      </c>
      <c r="J8" s="11">
        <f t="shared" si="1"/>
        <v>2970</v>
      </c>
      <c r="K8" s="15">
        <v>46243</v>
      </c>
      <c r="L8" s="10" t="s">
        <v>13</v>
      </c>
    </row>
    <row r="9" spans="1:12" ht="17.25" x14ac:dyDescent="0.25">
      <c r="A9" s="9" t="s">
        <v>18</v>
      </c>
      <c r="B9" s="9" t="s">
        <v>145</v>
      </c>
      <c r="C9" s="9" t="s">
        <v>134</v>
      </c>
      <c r="D9" s="9" t="s">
        <v>122</v>
      </c>
      <c r="E9" s="9" t="s">
        <v>112</v>
      </c>
      <c r="F9" s="9" t="s">
        <v>82</v>
      </c>
      <c r="G9" s="10">
        <v>16</v>
      </c>
      <c r="H9" s="10">
        <v>1120</v>
      </c>
      <c r="I9" s="11">
        <f t="shared" si="0"/>
        <v>17920</v>
      </c>
      <c r="J9" s="11">
        <f t="shared" si="1"/>
        <v>3225.6</v>
      </c>
      <c r="K9" s="15">
        <v>46244</v>
      </c>
      <c r="L9" s="10" t="s">
        <v>74</v>
      </c>
    </row>
    <row r="10" spans="1:12" ht="17.25" x14ac:dyDescent="0.25">
      <c r="A10" s="9" t="s">
        <v>17</v>
      </c>
      <c r="B10" s="9" t="s">
        <v>144</v>
      </c>
      <c r="C10" s="9" t="s">
        <v>133</v>
      </c>
      <c r="D10" s="9" t="s">
        <v>122</v>
      </c>
      <c r="E10" s="9" t="s">
        <v>111</v>
      </c>
      <c r="F10" s="9" t="s">
        <v>81</v>
      </c>
      <c r="G10" s="10">
        <v>15</v>
      </c>
      <c r="H10" s="10">
        <v>1100</v>
      </c>
      <c r="I10" s="11">
        <f t="shared" ref="I10" si="2">H10*G10</f>
        <v>16500</v>
      </c>
      <c r="J10" s="11">
        <f t="shared" si="1"/>
        <v>2970</v>
      </c>
      <c r="K10" s="15">
        <v>46243</v>
      </c>
      <c r="L10" s="10" t="s">
        <v>13</v>
      </c>
    </row>
    <row r="11" spans="1:12" ht="17.25" customHeight="1" x14ac:dyDescent="0.25">
      <c r="A11" s="9" t="s">
        <v>19</v>
      </c>
      <c r="B11" s="9" t="s">
        <v>147</v>
      </c>
      <c r="C11" s="9" t="s">
        <v>135</v>
      </c>
      <c r="D11" s="9" t="s">
        <v>123</v>
      </c>
      <c r="E11" s="9" t="s">
        <v>113</v>
      </c>
      <c r="F11" s="9" t="s">
        <v>82</v>
      </c>
      <c r="G11" s="10">
        <v>18</v>
      </c>
      <c r="H11" s="10">
        <v>1160</v>
      </c>
      <c r="I11" s="11">
        <f t="shared" si="0"/>
        <v>20880</v>
      </c>
      <c r="J11" s="11">
        <f t="shared" si="1"/>
        <v>3758.3999999999996</v>
      </c>
      <c r="K11" s="15">
        <v>46246</v>
      </c>
      <c r="L11" s="10" t="s">
        <v>74</v>
      </c>
    </row>
    <row r="12" spans="1:12" ht="17.25" x14ac:dyDescent="0.25">
      <c r="A12" s="9" t="s">
        <v>20</v>
      </c>
      <c r="B12" s="9" t="s">
        <v>148</v>
      </c>
      <c r="C12" s="9" t="s">
        <v>136</v>
      </c>
      <c r="D12" s="9" t="s">
        <v>125</v>
      </c>
      <c r="E12" s="9" t="s">
        <v>114</v>
      </c>
      <c r="F12" s="9" t="s">
        <v>76</v>
      </c>
      <c r="G12" s="10">
        <v>19</v>
      </c>
      <c r="H12" s="10">
        <v>1180</v>
      </c>
      <c r="I12" s="11">
        <f t="shared" si="0"/>
        <v>22420</v>
      </c>
      <c r="J12" s="11">
        <f t="shared" si="1"/>
        <v>4035.6</v>
      </c>
      <c r="K12" s="15">
        <v>46247</v>
      </c>
      <c r="L12" s="10" t="s">
        <v>13</v>
      </c>
    </row>
    <row r="13" spans="1:12" ht="16.5" customHeight="1" x14ac:dyDescent="0.25">
      <c r="A13" s="9" t="s">
        <v>21</v>
      </c>
      <c r="B13" s="9" t="s">
        <v>149</v>
      </c>
      <c r="C13" s="9" t="s">
        <v>137</v>
      </c>
      <c r="D13" s="9" t="s">
        <v>126</v>
      </c>
      <c r="E13" s="9" t="s">
        <v>116</v>
      </c>
      <c r="F13" s="9" t="s">
        <v>83</v>
      </c>
      <c r="G13" s="10">
        <v>20</v>
      </c>
      <c r="H13" s="10">
        <v>1200</v>
      </c>
      <c r="I13" s="11">
        <f t="shared" si="0"/>
        <v>24000</v>
      </c>
      <c r="J13" s="11">
        <f t="shared" si="1"/>
        <v>4320</v>
      </c>
      <c r="K13" s="15">
        <v>46248</v>
      </c>
      <c r="L13" s="10" t="s">
        <v>74</v>
      </c>
    </row>
    <row r="14" spans="1:12" ht="17.25" x14ac:dyDescent="0.25">
      <c r="A14" s="9" t="s">
        <v>22</v>
      </c>
      <c r="B14" s="9" t="s">
        <v>150</v>
      </c>
      <c r="C14" s="9" t="s">
        <v>138</v>
      </c>
      <c r="D14" s="9" t="s">
        <v>127</v>
      </c>
      <c r="E14" s="9" t="s">
        <v>107</v>
      </c>
      <c r="F14" s="9" t="s">
        <v>84</v>
      </c>
      <c r="G14" s="10">
        <v>21</v>
      </c>
      <c r="H14" s="10">
        <v>1220</v>
      </c>
      <c r="I14" s="11">
        <f t="shared" si="0"/>
        <v>25620</v>
      </c>
      <c r="J14" s="11">
        <f t="shared" si="1"/>
        <v>4611.5999999999995</v>
      </c>
      <c r="K14" s="15">
        <v>46249</v>
      </c>
      <c r="L14" s="10" t="s">
        <v>13</v>
      </c>
    </row>
    <row r="15" spans="1:12" ht="17.25" x14ac:dyDescent="0.25">
      <c r="A15" s="9" t="s">
        <v>23</v>
      </c>
      <c r="B15" s="9" t="s">
        <v>151</v>
      </c>
      <c r="C15" s="9" t="s">
        <v>138</v>
      </c>
      <c r="D15" s="9" t="s">
        <v>128</v>
      </c>
      <c r="E15" s="9" t="s">
        <v>108</v>
      </c>
      <c r="F15" s="9" t="s">
        <v>85</v>
      </c>
      <c r="G15" s="10">
        <v>22</v>
      </c>
      <c r="H15" s="10">
        <v>1240</v>
      </c>
      <c r="I15" s="11">
        <f t="shared" si="0"/>
        <v>27280</v>
      </c>
      <c r="J15" s="11">
        <f t="shared" si="1"/>
        <v>4910.3999999999996</v>
      </c>
      <c r="K15" s="15">
        <v>46250</v>
      </c>
      <c r="L15" s="10" t="s">
        <v>74</v>
      </c>
    </row>
    <row r="16" spans="1:12" ht="17.25" x14ac:dyDescent="0.25">
      <c r="A16" s="9" t="s">
        <v>24</v>
      </c>
      <c r="B16" s="9" t="s">
        <v>152</v>
      </c>
      <c r="C16" s="9" t="s">
        <v>138</v>
      </c>
      <c r="D16" s="9" t="s">
        <v>117</v>
      </c>
      <c r="E16" s="9" t="s">
        <v>109</v>
      </c>
      <c r="F16" s="9" t="s">
        <v>86</v>
      </c>
      <c r="G16" s="10">
        <v>23</v>
      </c>
      <c r="H16" s="10">
        <v>1260</v>
      </c>
      <c r="I16" s="11">
        <f t="shared" si="0"/>
        <v>28980</v>
      </c>
      <c r="J16" s="11">
        <f t="shared" si="1"/>
        <v>5216.3999999999996</v>
      </c>
      <c r="K16" s="15">
        <v>46251</v>
      </c>
      <c r="L16" s="10" t="s">
        <v>13</v>
      </c>
    </row>
    <row r="17" spans="1:12" ht="17.25" x14ac:dyDescent="0.25">
      <c r="A17" s="9" t="s">
        <v>23</v>
      </c>
      <c r="B17" s="9" t="s">
        <v>151</v>
      </c>
      <c r="C17" s="9" t="s">
        <v>138</v>
      </c>
      <c r="D17" s="9" t="s">
        <v>128</v>
      </c>
      <c r="E17" s="9" t="s">
        <v>108</v>
      </c>
      <c r="F17" s="9" t="s">
        <v>85</v>
      </c>
      <c r="G17" s="10">
        <v>22</v>
      </c>
      <c r="H17" s="10">
        <v>1240</v>
      </c>
      <c r="I17" s="11">
        <f t="shared" ref="I17" si="3">H17*G17</f>
        <v>27280</v>
      </c>
      <c r="J17" s="11">
        <f t="shared" si="1"/>
        <v>4910.3999999999996</v>
      </c>
      <c r="K17" s="15">
        <v>46250</v>
      </c>
      <c r="L17" s="10" t="s">
        <v>74</v>
      </c>
    </row>
    <row r="18" spans="1:12" ht="17.25" x14ac:dyDescent="0.25">
      <c r="A18" s="9" t="s">
        <v>25</v>
      </c>
      <c r="B18" s="9" t="s">
        <v>153</v>
      </c>
      <c r="C18" s="9" t="s">
        <v>131</v>
      </c>
      <c r="D18" s="9" t="s">
        <v>119</v>
      </c>
      <c r="E18" s="9" t="s">
        <v>111</v>
      </c>
      <c r="F18" s="9" t="s">
        <v>87</v>
      </c>
      <c r="G18" s="10">
        <v>25</v>
      </c>
      <c r="H18" s="10">
        <v>1300</v>
      </c>
      <c r="I18" s="11">
        <f t="shared" si="0"/>
        <v>32500</v>
      </c>
      <c r="J18" s="11">
        <f t="shared" si="1"/>
        <v>5850</v>
      </c>
      <c r="K18" s="15">
        <v>46253</v>
      </c>
      <c r="L18" s="10" t="s">
        <v>13</v>
      </c>
    </row>
    <row r="19" spans="1:12" ht="17.25" x14ac:dyDescent="0.25">
      <c r="A19" s="9" t="s">
        <v>26</v>
      </c>
      <c r="B19" s="9" t="s">
        <v>154</v>
      </c>
      <c r="C19" s="9" t="s">
        <v>132</v>
      </c>
      <c r="D19" s="9" t="s">
        <v>120</v>
      </c>
      <c r="E19" s="9" t="s">
        <v>112</v>
      </c>
      <c r="F19" s="9" t="s">
        <v>88</v>
      </c>
      <c r="G19" s="10">
        <v>26</v>
      </c>
      <c r="H19" s="10">
        <v>1320</v>
      </c>
      <c r="I19" s="11">
        <f t="shared" si="0"/>
        <v>34320</v>
      </c>
      <c r="J19" s="11">
        <f t="shared" si="1"/>
        <v>6177.5999999999995</v>
      </c>
      <c r="K19" s="15">
        <v>46254</v>
      </c>
      <c r="L19" s="10" t="s">
        <v>74</v>
      </c>
    </row>
    <row r="20" spans="1:12" ht="17.25" x14ac:dyDescent="0.25">
      <c r="A20" s="9" t="s">
        <v>27</v>
      </c>
      <c r="B20" s="9" t="s">
        <v>155</v>
      </c>
      <c r="C20" s="9" t="s">
        <v>133</v>
      </c>
      <c r="D20" s="9" t="s">
        <v>121</v>
      </c>
      <c r="E20" s="9" t="s">
        <v>113</v>
      </c>
      <c r="F20" s="9" t="s">
        <v>89</v>
      </c>
      <c r="G20" s="10">
        <v>27</v>
      </c>
      <c r="H20" s="10">
        <v>1340</v>
      </c>
      <c r="I20" s="11">
        <f t="shared" si="0"/>
        <v>36180</v>
      </c>
      <c r="J20" s="11">
        <f t="shared" si="1"/>
        <v>6512.4</v>
      </c>
      <c r="K20" s="15">
        <v>46255</v>
      </c>
      <c r="L20" s="10" t="s">
        <v>13</v>
      </c>
    </row>
    <row r="21" spans="1:12" ht="17.25" x14ac:dyDescent="0.25">
      <c r="A21" s="9" t="s">
        <v>28</v>
      </c>
      <c r="B21" s="9" t="s">
        <v>156</v>
      </c>
      <c r="C21" s="9" t="s">
        <v>134</v>
      </c>
      <c r="D21" s="9" t="s">
        <v>122</v>
      </c>
      <c r="E21" s="9" t="s">
        <v>165</v>
      </c>
      <c r="F21" s="9" t="s">
        <v>90</v>
      </c>
      <c r="G21" s="10">
        <v>28</v>
      </c>
      <c r="H21" s="10">
        <v>1360</v>
      </c>
      <c r="I21" s="11">
        <f t="shared" si="0"/>
        <v>38080</v>
      </c>
      <c r="J21" s="11">
        <f t="shared" si="1"/>
        <v>6854.4</v>
      </c>
      <c r="K21" s="15">
        <v>46256</v>
      </c>
      <c r="L21" s="10" t="s">
        <v>74</v>
      </c>
    </row>
    <row r="22" spans="1:12" ht="17.25" x14ac:dyDescent="0.25">
      <c r="A22" s="9" t="s">
        <v>29</v>
      </c>
      <c r="B22" s="9" t="s">
        <v>157</v>
      </c>
      <c r="C22" s="9" t="s">
        <v>115</v>
      </c>
      <c r="D22" s="9" t="s">
        <v>123</v>
      </c>
      <c r="E22" s="9" t="s">
        <v>114</v>
      </c>
      <c r="F22" s="9" t="s">
        <v>91</v>
      </c>
      <c r="G22" s="10">
        <v>29</v>
      </c>
      <c r="H22" s="10">
        <v>1380</v>
      </c>
      <c r="I22" s="11">
        <f t="shared" si="0"/>
        <v>40020</v>
      </c>
      <c r="J22" s="11">
        <f t="shared" si="1"/>
        <v>7203.5999999999995</v>
      </c>
      <c r="K22" s="15">
        <v>46257</v>
      </c>
      <c r="L22" s="10" t="s">
        <v>13</v>
      </c>
    </row>
    <row r="23" spans="1:12" ht="17.25" x14ac:dyDescent="0.25">
      <c r="A23" s="9" t="s">
        <v>30</v>
      </c>
      <c r="B23" s="9" t="s">
        <v>158</v>
      </c>
      <c r="C23" s="9" t="s">
        <v>135</v>
      </c>
      <c r="D23" s="9" t="s">
        <v>124</v>
      </c>
      <c r="E23" s="9" t="s">
        <v>116</v>
      </c>
      <c r="F23" s="9" t="s">
        <v>92</v>
      </c>
      <c r="G23" s="10">
        <v>30</v>
      </c>
      <c r="H23" s="10">
        <v>1400</v>
      </c>
      <c r="I23" s="11">
        <f t="shared" si="0"/>
        <v>42000</v>
      </c>
      <c r="J23" s="11">
        <f t="shared" si="1"/>
        <v>7560</v>
      </c>
      <c r="K23" s="15">
        <v>46258</v>
      </c>
      <c r="L23" s="10" t="s">
        <v>74</v>
      </c>
    </row>
    <row r="24" spans="1:12" ht="17.25" x14ac:dyDescent="0.25">
      <c r="A24" s="9" t="s">
        <v>31</v>
      </c>
      <c r="B24" s="9" t="s">
        <v>158</v>
      </c>
      <c r="C24" s="9" t="s">
        <v>136</v>
      </c>
      <c r="D24" s="9" t="s">
        <v>125</v>
      </c>
      <c r="E24" s="9" t="s">
        <v>107</v>
      </c>
      <c r="F24" s="9" t="s">
        <v>93</v>
      </c>
      <c r="G24" s="10">
        <v>31</v>
      </c>
      <c r="H24" s="10">
        <v>1420</v>
      </c>
      <c r="I24" s="11">
        <f t="shared" si="0"/>
        <v>44020</v>
      </c>
      <c r="J24" s="11">
        <f t="shared" si="1"/>
        <v>7923.5999999999995</v>
      </c>
      <c r="K24" s="15">
        <v>46259</v>
      </c>
      <c r="L24" s="10" t="s">
        <v>13</v>
      </c>
    </row>
    <row r="25" spans="1:12" ht="17.25" x14ac:dyDescent="0.25">
      <c r="A25" s="9" t="s">
        <v>30</v>
      </c>
      <c r="B25" s="9" t="s">
        <v>158</v>
      </c>
      <c r="C25" s="9" t="s">
        <v>135</v>
      </c>
      <c r="D25" s="9" t="s">
        <v>124</v>
      </c>
      <c r="E25" s="9" t="s">
        <v>116</v>
      </c>
      <c r="F25" s="9" t="s">
        <v>92</v>
      </c>
      <c r="G25" s="10">
        <v>30</v>
      </c>
      <c r="H25" s="10">
        <v>1400</v>
      </c>
      <c r="I25" s="11">
        <f t="shared" ref="I25" si="4">H25*G25</f>
        <v>42000</v>
      </c>
      <c r="J25" s="11">
        <f t="shared" si="1"/>
        <v>7560</v>
      </c>
      <c r="K25" s="15">
        <v>46258</v>
      </c>
      <c r="L25" s="10" t="s">
        <v>74</v>
      </c>
    </row>
    <row r="26" spans="1:12" ht="17.25" x14ac:dyDescent="0.25">
      <c r="A26" s="9" t="s">
        <v>32</v>
      </c>
      <c r="B26" s="9" t="s">
        <v>159</v>
      </c>
      <c r="C26" s="9" t="s">
        <v>138</v>
      </c>
      <c r="D26" s="9" t="s">
        <v>127</v>
      </c>
      <c r="E26" s="9" t="s">
        <v>109</v>
      </c>
      <c r="F26" s="9" t="s">
        <v>94</v>
      </c>
      <c r="G26" s="10">
        <v>33</v>
      </c>
      <c r="H26" s="10">
        <v>1460</v>
      </c>
      <c r="I26" s="11">
        <f t="shared" si="0"/>
        <v>48180</v>
      </c>
      <c r="J26" s="11">
        <f t="shared" si="1"/>
        <v>8672.4</v>
      </c>
      <c r="K26" s="15">
        <v>46261</v>
      </c>
      <c r="L26" s="10" t="s">
        <v>13</v>
      </c>
    </row>
    <row r="27" spans="1:12" ht="17.25" x14ac:dyDescent="0.25">
      <c r="A27" s="9" t="s">
        <v>33</v>
      </c>
      <c r="B27" s="9" t="s">
        <v>160</v>
      </c>
      <c r="C27" s="9" t="s">
        <v>139</v>
      </c>
      <c r="D27" s="9" t="s">
        <v>128</v>
      </c>
      <c r="E27" s="9" t="s">
        <v>110</v>
      </c>
      <c r="F27" s="9" t="s">
        <v>95</v>
      </c>
      <c r="G27" s="10">
        <v>34</v>
      </c>
      <c r="H27" s="10">
        <v>1480</v>
      </c>
      <c r="I27" s="11">
        <f t="shared" si="0"/>
        <v>50320</v>
      </c>
      <c r="J27" s="11">
        <f t="shared" si="1"/>
        <v>9057.6</v>
      </c>
      <c r="K27" s="15">
        <v>46262</v>
      </c>
      <c r="L27" s="10" t="s">
        <v>74</v>
      </c>
    </row>
    <row r="28" spans="1:12" ht="17.25" x14ac:dyDescent="0.25">
      <c r="A28" s="9" t="s">
        <v>34</v>
      </c>
      <c r="B28" s="9" t="s">
        <v>161</v>
      </c>
      <c r="C28" s="9" t="s">
        <v>129</v>
      </c>
      <c r="D28" s="9" t="s">
        <v>117</v>
      </c>
      <c r="E28" s="9" t="s">
        <v>111</v>
      </c>
      <c r="F28" s="9" t="s">
        <v>96</v>
      </c>
      <c r="G28" s="10">
        <v>35</v>
      </c>
      <c r="H28" s="10">
        <v>1500</v>
      </c>
      <c r="I28" s="11">
        <f t="shared" si="0"/>
        <v>52500</v>
      </c>
      <c r="J28" s="11">
        <f t="shared" si="1"/>
        <v>9450</v>
      </c>
      <c r="K28" s="15">
        <v>46263</v>
      </c>
      <c r="L28" s="10" t="s">
        <v>13</v>
      </c>
    </row>
    <row r="29" spans="1:12" ht="17.25" x14ac:dyDescent="0.25">
      <c r="A29" s="9" t="s">
        <v>35</v>
      </c>
      <c r="B29" s="9" t="s">
        <v>162</v>
      </c>
      <c r="C29" s="9" t="s">
        <v>130</v>
      </c>
      <c r="D29" s="9" t="s">
        <v>118</v>
      </c>
      <c r="E29" s="9" t="s">
        <v>112</v>
      </c>
      <c r="F29" s="9" t="s">
        <v>97</v>
      </c>
      <c r="G29" s="10">
        <v>36</v>
      </c>
      <c r="H29" s="10">
        <v>1520</v>
      </c>
      <c r="I29" s="11">
        <f t="shared" si="0"/>
        <v>54720</v>
      </c>
      <c r="J29" s="11">
        <f t="shared" si="1"/>
        <v>9849.6</v>
      </c>
      <c r="K29" s="15">
        <v>46264</v>
      </c>
      <c r="L29" s="10" t="s">
        <v>74</v>
      </c>
    </row>
    <row r="30" spans="1:12" ht="17.25" x14ac:dyDescent="0.25">
      <c r="A30" s="9" t="s">
        <v>36</v>
      </c>
      <c r="B30" s="9" t="s">
        <v>163</v>
      </c>
      <c r="C30" s="9" t="s">
        <v>131</v>
      </c>
      <c r="D30" s="9" t="s">
        <v>119</v>
      </c>
      <c r="E30" s="9" t="s">
        <v>113</v>
      </c>
      <c r="F30" s="9" t="s">
        <v>98</v>
      </c>
      <c r="G30" s="10">
        <v>37</v>
      </c>
      <c r="H30" s="10">
        <v>1540</v>
      </c>
      <c r="I30" s="11">
        <f t="shared" si="0"/>
        <v>56980</v>
      </c>
      <c r="J30" s="11">
        <f t="shared" si="1"/>
        <v>10256.4</v>
      </c>
      <c r="K30" s="15">
        <v>46265</v>
      </c>
      <c r="L30" s="10" t="s">
        <v>13</v>
      </c>
    </row>
    <row r="31" spans="1:12" ht="17.25" x14ac:dyDescent="0.25">
      <c r="A31" s="9" t="s">
        <v>37</v>
      </c>
      <c r="B31" s="9" t="s">
        <v>164</v>
      </c>
      <c r="C31" s="9" t="s">
        <v>132</v>
      </c>
      <c r="D31" s="9" t="s">
        <v>120</v>
      </c>
      <c r="E31" s="9" t="s">
        <v>166</v>
      </c>
      <c r="F31" s="9" t="s">
        <v>77</v>
      </c>
      <c r="G31" s="10">
        <v>38</v>
      </c>
      <c r="H31" s="10">
        <v>1560</v>
      </c>
      <c r="I31" s="11">
        <f t="shared" si="0"/>
        <v>59280</v>
      </c>
      <c r="J31" s="11">
        <f t="shared" si="1"/>
        <v>10670.4</v>
      </c>
      <c r="K31" s="15">
        <v>46266</v>
      </c>
      <c r="L31" s="10" t="s">
        <v>74</v>
      </c>
    </row>
    <row r="32" spans="1:12" ht="17.25" x14ac:dyDescent="0.25">
      <c r="A32" s="9" t="s">
        <v>38</v>
      </c>
      <c r="B32" s="9" t="s">
        <v>140</v>
      </c>
      <c r="C32" s="9" t="s">
        <v>133</v>
      </c>
      <c r="D32" s="9" t="s">
        <v>121</v>
      </c>
      <c r="E32" s="9" t="s">
        <v>114</v>
      </c>
      <c r="F32" s="9" t="s">
        <v>99</v>
      </c>
      <c r="G32" s="10">
        <v>39</v>
      </c>
      <c r="H32" s="10">
        <v>1580</v>
      </c>
      <c r="I32" s="11">
        <f t="shared" si="0"/>
        <v>61620</v>
      </c>
      <c r="J32" s="11">
        <f t="shared" si="1"/>
        <v>11091.6</v>
      </c>
      <c r="K32" s="15">
        <v>46267</v>
      </c>
      <c r="L32" s="10" t="s">
        <v>13</v>
      </c>
    </row>
    <row r="33" spans="1:12" ht="17.25" x14ac:dyDescent="0.25">
      <c r="A33" s="9" t="s">
        <v>39</v>
      </c>
      <c r="B33" s="9" t="s">
        <v>141</v>
      </c>
      <c r="C33" s="9" t="s">
        <v>134</v>
      </c>
      <c r="D33" s="9" t="s">
        <v>122</v>
      </c>
      <c r="E33" s="9" t="s">
        <v>116</v>
      </c>
      <c r="F33" s="9" t="s">
        <v>100</v>
      </c>
      <c r="G33" s="10">
        <v>39</v>
      </c>
      <c r="H33" s="10">
        <v>1600</v>
      </c>
      <c r="I33" s="11">
        <f t="shared" si="0"/>
        <v>62400</v>
      </c>
      <c r="J33" s="11">
        <f t="shared" si="1"/>
        <v>11232</v>
      </c>
      <c r="K33" s="15">
        <v>46268</v>
      </c>
      <c r="L33" s="10" t="s">
        <v>74</v>
      </c>
    </row>
    <row r="34" spans="1:12" ht="17.25" x14ac:dyDescent="0.25">
      <c r="A34" s="9" t="s">
        <v>40</v>
      </c>
      <c r="B34" s="9" t="s">
        <v>142</v>
      </c>
      <c r="C34" s="9" t="s">
        <v>115</v>
      </c>
      <c r="D34" s="9" t="s">
        <v>122</v>
      </c>
      <c r="E34" s="9" t="s">
        <v>107</v>
      </c>
      <c r="F34" s="9" t="s">
        <v>75</v>
      </c>
      <c r="G34" s="10">
        <v>41</v>
      </c>
      <c r="H34" s="10">
        <v>1620</v>
      </c>
      <c r="I34" s="11">
        <f t="shared" si="0"/>
        <v>66420</v>
      </c>
      <c r="J34" s="11">
        <f t="shared" si="1"/>
        <v>11955.6</v>
      </c>
      <c r="K34" s="15">
        <v>46269</v>
      </c>
      <c r="L34" s="10" t="s">
        <v>13</v>
      </c>
    </row>
    <row r="35" spans="1:12" ht="17.25" x14ac:dyDescent="0.25">
      <c r="A35" s="9" t="s">
        <v>41</v>
      </c>
      <c r="B35" s="9" t="s">
        <v>143</v>
      </c>
      <c r="C35" s="9" t="s">
        <v>135</v>
      </c>
      <c r="D35" s="9" t="s">
        <v>124</v>
      </c>
      <c r="E35" s="9" t="s">
        <v>108</v>
      </c>
      <c r="F35" s="9" t="s">
        <v>101</v>
      </c>
      <c r="G35" s="10">
        <v>42</v>
      </c>
      <c r="H35" s="10">
        <v>1640</v>
      </c>
      <c r="I35" s="11">
        <f t="shared" si="0"/>
        <v>68880</v>
      </c>
      <c r="J35" s="11">
        <f t="shared" si="1"/>
        <v>12398.4</v>
      </c>
      <c r="K35" s="15">
        <v>46270</v>
      </c>
      <c r="L35" s="10" t="s">
        <v>74</v>
      </c>
    </row>
    <row r="36" spans="1:12" ht="17.25" x14ac:dyDescent="0.25">
      <c r="A36" s="9" t="s">
        <v>42</v>
      </c>
      <c r="B36" s="9" t="s">
        <v>144</v>
      </c>
      <c r="C36" s="9" t="s">
        <v>136</v>
      </c>
      <c r="D36" s="9" t="s">
        <v>125</v>
      </c>
      <c r="E36" s="9" t="s">
        <v>109</v>
      </c>
      <c r="F36" s="9" t="s">
        <v>102</v>
      </c>
      <c r="G36" s="10">
        <v>43</v>
      </c>
      <c r="H36" s="10">
        <v>1660</v>
      </c>
      <c r="I36" s="11">
        <f t="shared" si="0"/>
        <v>71380</v>
      </c>
      <c r="J36" s="11">
        <f t="shared" si="1"/>
        <v>12848.4</v>
      </c>
      <c r="K36" s="15">
        <v>46271</v>
      </c>
      <c r="L36" s="10" t="s">
        <v>13</v>
      </c>
    </row>
    <row r="37" spans="1:12" ht="17.25" x14ac:dyDescent="0.25">
      <c r="A37" s="9" t="s">
        <v>40</v>
      </c>
      <c r="B37" s="9" t="s">
        <v>142</v>
      </c>
      <c r="C37" s="9" t="s">
        <v>115</v>
      </c>
      <c r="D37" s="9" t="s">
        <v>122</v>
      </c>
      <c r="E37" s="9" t="s">
        <v>107</v>
      </c>
      <c r="F37" s="9" t="s">
        <v>75</v>
      </c>
      <c r="G37" s="10">
        <v>41</v>
      </c>
      <c r="H37" s="10">
        <v>1620</v>
      </c>
      <c r="I37" s="11">
        <f t="shared" ref="I37" si="5">H37*G37</f>
        <v>66420</v>
      </c>
      <c r="J37" s="11">
        <f t="shared" si="1"/>
        <v>11955.6</v>
      </c>
      <c r="K37" s="15">
        <v>46269</v>
      </c>
      <c r="L37" s="10" t="s">
        <v>13</v>
      </c>
    </row>
    <row r="38" spans="1:12" ht="17.25" x14ac:dyDescent="0.25">
      <c r="A38" s="9" t="s">
        <v>43</v>
      </c>
      <c r="B38" s="9" t="s">
        <v>146</v>
      </c>
      <c r="C38" s="9" t="s">
        <v>138</v>
      </c>
      <c r="D38" s="9" t="s">
        <v>127</v>
      </c>
      <c r="E38" s="9" t="s">
        <v>111</v>
      </c>
      <c r="F38" s="9" t="s">
        <v>103</v>
      </c>
      <c r="G38" s="10">
        <v>45</v>
      </c>
      <c r="H38" s="10">
        <v>1700</v>
      </c>
      <c r="I38" s="11">
        <f t="shared" si="0"/>
        <v>76500</v>
      </c>
      <c r="J38" s="11">
        <f t="shared" si="1"/>
        <v>13770</v>
      </c>
      <c r="K38" s="15">
        <v>46273</v>
      </c>
      <c r="L38" s="10" t="s">
        <v>13</v>
      </c>
    </row>
    <row r="39" spans="1:12" ht="17.25" x14ac:dyDescent="0.25">
      <c r="A39" s="9" t="s">
        <v>44</v>
      </c>
      <c r="B39" s="9" t="s">
        <v>147</v>
      </c>
      <c r="C39" s="9" t="s">
        <v>139</v>
      </c>
      <c r="D39" s="9" t="s">
        <v>128</v>
      </c>
      <c r="E39" s="9" t="s">
        <v>112</v>
      </c>
      <c r="F39" s="9" t="s">
        <v>12</v>
      </c>
      <c r="G39" s="10">
        <v>45</v>
      </c>
      <c r="H39" s="10">
        <v>1720</v>
      </c>
      <c r="I39" s="11">
        <f t="shared" si="0"/>
        <v>77400</v>
      </c>
      <c r="J39" s="11">
        <f t="shared" si="1"/>
        <v>13932</v>
      </c>
      <c r="K39" s="15">
        <v>46274</v>
      </c>
      <c r="L39" s="10" t="s">
        <v>74</v>
      </c>
    </row>
    <row r="40" spans="1:12" ht="17.25" x14ac:dyDescent="0.25">
      <c r="A40" s="9" t="s">
        <v>14</v>
      </c>
      <c r="B40" s="9" t="s">
        <v>141</v>
      </c>
      <c r="C40" s="9" t="s">
        <v>130</v>
      </c>
      <c r="D40" s="9" t="s">
        <v>118</v>
      </c>
      <c r="E40" s="9" t="s">
        <v>108</v>
      </c>
      <c r="F40" s="9" t="s">
        <v>78</v>
      </c>
      <c r="G40" s="10">
        <v>12</v>
      </c>
      <c r="H40" s="10">
        <v>1040</v>
      </c>
      <c r="I40" s="11">
        <f t="shared" ref="I40:I41" si="6">H40*G40</f>
        <v>12480</v>
      </c>
      <c r="J40" s="11">
        <f t="shared" si="1"/>
        <v>2246.4</v>
      </c>
      <c r="K40" s="15">
        <v>46240</v>
      </c>
      <c r="L40" s="10" t="s">
        <v>74</v>
      </c>
    </row>
    <row r="41" spans="1:12" ht="17.25" x14ac:dyDescent="0.25">
      <c r="A41" s="9" t="s">
        <v>21</v>
      </c>
      <c r="B41" s="9" t="s">
        <v>149</v>
      </c>
      <c r="C41" s="9" t="s">
        <v>137</v>
      </c>
      <c r="D41" s="9" t="s">
        <v>126</v>
      </c>
      <c r="E41" s="9" t="s">
        <v>116</v>
      </c>
      <c r="F41" s="9" t="s">
        <v>83</v>
      </c>
      <c r="G41" s="10">
        <v>20</v>
      </c>
      <c r="H41" s="10">
        <v>1200</v>
      </c>
      <c r="I41" s="11">
        <f t="shared" si="6"/>
        <v>24000</v>
      </c>
      <c r="J41" s="11">
        <f t="shared" si="1"/>
        <v>4320</v>
      </c>
      <c r="K41" s="15">
        <v>46248</v>
      </c>
      <c r="L41" s="10" t="s">
        <v>74</v>
      </c>
    </row>
    <row r="42" spans="1:12" ht="17.25" x14ac:dyDescent="0.25">
      <c r="A42" s="9" t="s">
        <v>43</v>
      </c>
      <c r="B42" s="9" t="s">
        <v>146</v>
      </c>
      <c r="C42" s="9" t="s">
        <v>129</v>
      </c>
      <c r="D42" s="9" t="s">
        <v>117</v>
      </c>
      <c r="E42" s="9" t="s">
        <v>114</v>
      </c>
      <c r="F42" s="9" t="s">
        <v>104</v>
      </c>
      <c r="G42" s="10">
        <v>49</v>
      </c>
      <c r="H42" s="10">
        <v>1780</v>
      </c>
      <c r="I42" s="11">
        <f t="shared" si="0"/>
        <v>87220</v>
      </c>
      <c r="J42" s="11">
        <f t="shared" si="1"/>
        <v>15699.599999999999</v>
      </c>
      <c r="K42" s="15">
        <v>46277</v>
      </c>
      <c r="L42" s="10" t="s">
        <v>13</v>
      </c>
    </row>
    <row r="43" spans="1:12" ht="17.25" x14ac:dyDescent="0.25">
      <c r="A43" s="9" t="s">
        <v>45</v>
      </c>
      <c r="B43" s="9" t="s">
        <v>151</v>
      </c>
      <c r="C43" s="9" t="s">
        <v>129</v>
      </c>
      <c r="D43" s="9" t="s">
        <v>117</v>
      </c>
      <c r="E43" s="9" t="s">
        <v>116</v>
      </c>
      <c r="F43" s="9" t="s">
        <v>105</v>
      </c>
      <c r="G43" s="10">
        <v>50</v>
      </c>
      <c r="H43" s="10">
        <v>1800</v>
      </c>
      <c r="I43" s="11">
        <f t="shared" si="0"/>
        <v>90000</v>
      </c>
      <c r="J43" s="11">
        <f t="shared" si="1"/>
        <v>16200</v>
      </c>
      <c r="K43" s="15">
        <v>46278</v>
      </c>
      <c r="L43" s="10" t="s">
        <v>74</v>
      </c>
    </row>
    <row r="44" spans="1:12" ht="17.25" x14ac:dyDescent="0.25">
      <c r="A44" s="9" t="s">
        <v>45</v>
      </c>
      <c r="B44" s="9" t="s">
        <v>151</v>
      </c>
      <c r="C44" s="9" t="s">
        <v>129</v>
      </c>
      <c r="D44" s="9" t="s">
        <v>117</v>
      </c>
      <c r="E44" s="9" t="s">
        <v>116</v>
      </c>
      <c r="F44" s="9" t="s">
        <v>105</v>
      </c>
      <c r="G44" s="10">
        <v>50</v>
      </c>
      <c r="H44" s="10">
        <v>1800</v>
      </c>
      <c r="I44" s="11">
        <f t="shared" ref="I44" si="7">H44*G44</f>
        <v>90000</v>
      </c>
      <c r="J44" s="11">
        <f t="shared" si="1"/>
        <v>16200</v>
      </c>
      <c r="K44" s="15">
        <v>46278</v>
      </c>
      <c r="L44" s="10" t="s">
        <v>74</v>
      </c>
    </row>
    <row r="45" spans="1:12" ht="17.25" x14ac:dyDescent="0.25">
      <c r="A45" s="9" t="s">
        <v>21</v>
      </c>
      <c r="B45" s="9" t="s">
        <v>149</v>
      </c>
      <c r="C45" s="9" t="s">
        <v>137</v>
      </c>
      <c r="D45" s="9" t="s">
        <v>126</v>
      </c>
      <c r="E45" s="9" t="s">
        <v>116</v>
      </c>
      <c r="F45" s="9" t="s">
        <v>83</v>
      </c>
      <c r="G45" s="10">
        <v>20</v>
      </c>
      <c r="H45" s="10">
        <v>1200</v>
      </c>
      <c r="I45" s="11">
        <f t="shared" ref="I45" si="8">H45*G45</f>
        <v>24000</v>
      </c>
      <c r="J45" s="11">
        <f t="shared" si="1"/>
        <v>4320</v>
      </c>
      <c r="K45" s="15">
        <v>46248</v>
      </c>
      <c r="L45" s="10" t="s">
        <v>74</v>
      </c>
    </row>
    <row r="46" spans="1:12" ht="17.25" x14ac:dyDescent="0.25">
      <c r="A46" s="9" t="s">
        <v>25</v>
      </c>
      <c r="B46" s="9" t="s">
        <v>153</v>
      </c>
      <c r="C46" s="9" t="s">
        <v>129</v>
      </c>
      <c r="D46" s="9" t="s">
        <v>117</v>
      </c>
      <c r="E46" s="9" t="s">
        <v>109</v>
      </c>
      <c r="F46" s="9" t="s">
        <v>106</v>
      </c>
      <c r="G46" s="10">
        <v>25</v>
      </c>
      <c r="H46" s="10">
        <v>1300</v>
      </c>
      <c r="I46" s="11">
        <f t="shared" si="0"/>
        <v>32500</v>
      </c>
      <c r="J46" s="11">
        <f t="shared" si="1"/>
        <v>5850</v>
      </c>
      <c r="K46" s="15">
        <v>46281</v>
      </c>
      <c r="L46" s="10" t="s">
        <v>13</v>
      </c>
    </row>
    <row r="47" spans="1:12" ht="17.25" x14ac:dyDescent="0.25">
      <c r="A47" s="9" t="s">
        <v>21</v>
      </c>
      <c r="B47" s="9" t="s">
        <v>149</v>
      </c>
      <c r="C47" s="9" t="s">
        <v>137</v>
      </c>
      <c r="D47" s="9" t="s">
        <v>126</v>
      </c>
      <c r="E47" s="9" t="s">
        <v>116</v>
      </c>
      <c r="F47" s="9" t="s">
        <v>83</v>
      </c>
      <c r="G47" s="10">
        <v>20</v>
      </c>
      <c r="H47" s="10">
        <v>1200</v>
      </c>
      <c r="I47" s="11">
        <f t="shared" ref="I47:I48" si="9">H47*G47</f>
        <v>24000</v>
      </c>
      <c r="J47" s="11">
        <f t="shared" si="1"/>
        <v>4320</v>
      </c>
      <c r="K47" s="15">
        <v>46248</v>
      </c>
      <c r="L47" s="10" t="s">
        <v>74</v>
      </c>
    </row>
    <row r="48" spans="1:12" ht="17.25" x14ac:dyDescent="0.25">
      <c r="A48" s="9" t="s">
        <v>34</v>
      </c>
      <c r="B48" s="9" t="s">
        <v>161</v>
      </c>
      <c r="C48" s="9" t="s">
        <v>129</v>
      </c>
      <c r="D48" s="9" t="s">
        <v>117</v>
      </c>
      <c r="E48" s="9" t="s">
        <v>111</v>
      </c>
      <c r="F48" s="9" t="s">
        <v>96</v>
      </c>
      <c r="G48" s="10">
        <v>35</v>
      </c>
      <c r="H48" s="10">
        <v>1500</v>
      </c>
      <c r="I48" s="11">
        <f t="shared" si="9"/>
        <v>52500</v>
      </c>
      <c r="J48" s="11">
        <f t="shared" si="1"/>
        <v>9450</v>
      </c>
      <c r="K48" s="15">
        <v>46263</v>
      </c>
      <c r="L48" s="10" t="s">
        <v>13</v>
      </c>
    </row>
  </sheetData>
  <mergeCells count="1">
    <mergeCell ref="A1:L1"/>
  </mergeCells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81D9-1C80-48A1-BA7E-4B4FDB32A9A1}">
  <dimension ref="A1:J4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14.140625" customWidth="1"/>
    <col min="2" max="2" width="20.42578125" customWidth="1"/>
    <col min="3" max="3" width="10.28515625" customWidth="1"/>
    <col min="4" max="4" width="22.5703125" customWidth="1"/>
    <col min="5" max="5" width="17.5703125" customWidth="1"/>
    <col min="6" max="6" width="17.7109375" customWidth="1"/>
    <col min="7" max="7" width="16" customWidth="1"/>
    <col min="8" max="8" width="4.7109375" customWidth="1"/>
    <col min="9" max="10" width="22" customWidth="1"/>
  </cols>
  <sheetData>
    <row r="1" spans="1:10" ht="22.5" x14ac:dyDescent="0.3">
      <c r="A1" s="43" t="s">
        <v>168</v>
      </c>
      <c r="B1" s="43"/>
      <c r="C1" s="43"/>
      <c r="D1" s="43"/>
      <c r="E1" s="43"/>
      <c r="F1" s="43"/>
      <c r="G1" s="43"/>
    </row>
    <row r="2" spans="1:10" x14ac:dyDescent="0.25">
      <c r="A2" s="21"/>
      <c r="B2" s="21"/>
      <c r="C2" s="21"/>
      <c r="D2" s="21"/>
      <c r="E2" s="21"/>
      <c r="F2" s="21"/>
      <c r="G2" s="21"/>
    </row>
    <row r="3" spans="1:10" ht="36" x14ac:dyDescent="0.25">
      <c r="A3" s="19" t="s">
        <v>46</v>
      </c>
      <c r="B3" s="20" t="s">
        <v>5</v>
      </c>
      <c r="C3" s="20" t="s">
        <v>47</v>
      </c>
      <c r="D3" s="20" t="s">
        <v>210</v>
      </c>
      <c r="E3" s="20" t="s">
        <v>48</v>
      </c>
      <c r="F3" s="20" t="s">
        <v>49</v>
      </c>
      <c r="G3" s="20" t="s">
        <v>50</v>
      </c>
    </row>
    <row r="4" spans="1:10" ht="17.25" x14ac:dyDescent="0.25">
      <c r="A4" s="17" t="s">
        <v>169</v>
      </c>
      <c r="B4" s="17" t="s">
        <v>12</v>
      </c>
      <c r="C4" s="24">
        <v>21</v>
      </c>
      <c r="D4" s="17" t="s">
        <v>51</v>
      </c>
      <c r="E4" s="22">
        <v>6</v>
      </c>
      <c r="F4" s="23">
        <v>105000</v>
      </c>
      <c r="G4" s="18">
        <v>701234501</v>
      </c>
    </row>
    <row r="5" spans="1:10" ht="20.25" customHeight="1" x14ac:dyDescent="0.25">
      <c r="A5" s="17" t="s">
        <v>170</v>
      </c>
      <c r="B5" s="17" t="s">
        <v>78</v>
      </c>
      <c r="C5" s="24">
        <v>22</v>
      </c>
      <c r="D5" s="17" t="s">
        <v>52</v>
      </c>
      <c r="E5" s="22">
        <v>7</v>
      </c>
      <c r="F5" s="23">
        <v>110000</v>
      </c>
      <c r="G5" s="18">
        <v>701234502</v>
      </c>
      <c r="I5" s="16" t="s">
        <v>209</v>
      </c>
      <c r="J5" s="16"/>
    </row>
    <row r="6" spans="1:10" ht="18" x14ac:dyDescent="0.25">
      <c r="A6" s="17" t="s">
        <v>171</v>
      </c>
      <c r="B6" s="17" t="s">
        <v>79</v>
      </c>
      <c r="C6" s="24">
        <v>23</v>
      </c>
      <c r="D6" s="17" t="s">
        <v>53</v>
      </c>
      <c r="E6" s="22">
        <v>8</v>
      </c>
      <c r="F6" s="23">
        <v>115000</v>
      </c>
      <c r="G6" s="18">
        <v>701234503</v>
      </c>
      <c r="I6" s="45"/>
      <c r="J6" s="44"/>
    </row>
    <row r="7" spans="1:10" ht="17.25" x14ac:dyDescent="0.25">
      <c r="A7" s="17" t="s">
        <v>172</v>
      </c>
      <c r="B7" s="17" t="s">
        <v>80</v>
      </c>
      <c r="C7" s="24">
        <v>24</v>
      </c>
      <c r="D7" s="17" t="s">
        <v>54</v>
      </c>
      <c r="E7" s="22">
        <v>9</v>
      </c>
      <c r="F7" s="23">
        <v>120000</v>
      </c>
      <c r="G7" s="18">
        <v>701234504</v>
      </c>
    </row>
    <row r="8" spans="1:10" ht="17.25" x14ac:dyDescent="0.25">
      <c r="A8" s="17" t="s">
        <v>173</v>
      </c>
      <c r="B8" s="17" t="s">
        <v>81</v>
      </c>
      <c r="C8" s="24">
        <v>25</v>
      </c>
      <c r="D8" s="17" t="s">
        <v>51</v>
      </c>
      <c r="E8" s="22">
        <v>10</v>
      </c>
      <c r="F8" s="23">
        <v>125000</v>
      </c>
      <c r="G8" s="18">
        <v>701234505</v>
      </c>
    </row>
    <row r="9" spans="1:10" ht="17.25" x14ac:dyDescent="0.25">
      <c r="A9" s="17" t="s">
        <v>174</v>
      </c>
      <c r="B9" s="17" t="s">
        <v>82</v>
      </c>
      <c r="C9" s="24">
        <v>26</v>
      </c>
      <c r="D9" s="17" t="s">
        <v>52</v>
      </c>
      <c r="E9" s="22">
        <v>11</v>
      </c>
      <c r="F9" s="23">
        <v>130000</v>
      </c>
      <c r="G9" s="18">
        <v>701234506</v>
      </c>
    </row>
    <row r="10" spans="1:10" ht="17.25" x14ac:dyDescent="0.25">
      <c r="A10" s="17" t="s">
        <v>175</v>
      </c>
      <c r="B10" s="17" t="s">
        <v>81</v>
      </c>
      <c r="C10" s="24">
        <v>27</v>
      </c>
      <c r="D10" s="17" t="s">
        <v>53</v>
      </c>
      <c r="E10" s="22">
        <v>12</v>
      </c>
      <c r="F10" s="23">
        <v>135000</v>
      </c>
      <c r="G10" s="18">
        <v>701234507</v>
      </c>
    </row>
    <row r="11" spans="1:10" ht="17.25" x14ac:dyDescent="0.25">
      <c r="A11" s="17" t="s">
        <v>176</v>
      </c>
      <c r="B11" s="17" t="s">
        <v>82</v>
      </c>
      <c r="C11" s="24">
        <v>28</v>
      </c>
      <c r="D11" s="17" t="s">
        <v>54</v>
      </c>
      <c r="E11" s="22">
        <v>5</v>
      </c>
      <c r="F11" s="23">
        <v>140000</v>
      </c>
      <c r="G11" s="18">
        <v>701234508</v>
      </c>
    </row>
    <row r="12" spans="1:10" ht="17.25" x14ac:dyDescent="0.25">
      <c r="A12" s="17" t="s">
        <v>177</v>
      </c>
      <c r="B12" s="17" t="s">
        <v>76</v>
      </c>
      <c r="C12" s="24">
        <v>29</v>
      </c>
      <c r="D12" s="17" t="s">
        <v>51</v>
      </c>
      <c r="E12" s="22">
        <v>6</v>
      </c>
      <c r="F12" s="23">
        <v>145000</v>
      </c>
      <c r="G12" s="18">
        <v>701234509</v>
      </c>
    </row>
    <row r="13" spans="1:10" ht="17.25" x14ac:dyDescent="0.25">
      <c r="A13" s="17" t="s">
        <v>178</v>
      </c>
      <c r="B13" s="17" t="s">
        <v>83</v>
      </c>
      <c r="C13" s="24">
        <v>30</v>
      </c>
      <c r="D13" s="17" t="s">
        <v>52</v>
      </c>
      <c r="E13" s="22">
        <v>7</v>
      </c>
      <c r="F13" s="23">
        <v>150000</v>
      </c>
      <c r="G13" s="18">
        <v>701234510</v>
      </c>
    </row>
    <row r="14" spans="1:10" ht="17.25" x14ac:dyDescent="0.25">
      <c r="A14" s="17" t="s">
        <v>179</v>
      </c>
      <c r="B14" s="17" t="s">
        <v>84</v>
      </c>
      <c r="C14" s="24">
        <v>31</v>
      </c>
      <c r="D14" s="17" t="s">
        <v>53</v>
      </c>
      <c r="E14" s="22">
        <v>8</v>
      </c>
      <c r="F14" s="23">
        <v>155000</v>
      </c>
      <c r="G14" s="18">
        <v>701234511</v>
      </c>
    </row>
    <row r="15" spans="1:10" ht="17.25" x14ac:dyDescent="0.25">
      <c r="A15" s="17" t="s">
        <v>180</v>
      </c>
      <c r="B15" s="17" t="s">
        <v>85</v>
      </c>
      <c r="C15" s="24">
        <v>32</v>
      </c>
      <c r="D15" s="17" t="s">
        <v>54</v>
      </c>
      <c r="E15" s="22">
        <v>9</v>
      </c>
      <c r="F15" s="23">
        <v>160000</v>
      </c>
      <c r="G15" s="18">
        <v>701234512</v>
      </c>
    </row>
    <row r="16" spans="1:10" ht="17.25" x14ac:dyDescent="0.25">
      <c r="A16" s="17" t="s">
        <v>181</v>
      </c>
      <c r="B16" s="17" t="s">
        <v>86</v>
      </c>
      <c r="C16" s="24">
        <v>33</v>
      </c>
      <c r="D16" s="17" t="s">
        <v>51</v>
      </c>
      <c r="E16" s="22">
        <v>10</v>
      </c>
      <c r="F16" s="23">
        <v>165000</v>
      </c>
      <c r="G16" s="18">
        <v>701234513</v>
      </c>
    </row>
    <row r="17" spans="1:7" ht="17.25" x14ac:dyDescent="0.25">
      <c r="A17" s="17" t="s">
        <v>182</v>
      </c>
      <c r="B17" s="17" t="s">
        <v>85</v>
      </c>
      <c r="C17" s="24">
        <v>34</v>
      </c>
      <c r="D17" s="17" t="s">
        <v>52</v>
      </c>
      <c r="E17" s="22">
        <v>11</v>
      </c>
      <c r="F17" s="23">
        <v>170000</v>
      </c>
      <c r="G17" s="18">
        <v>701234514</v>
      </c>
    </row>
    <row r="18" spans="1:7" ht="17.25" x14ac:dyDescent="0.25">
      <c r="A18" s="17" t="s">
        <v>183</v>
      </c>
      <c r="B18" s="17" t="s">
        <v>87</v>
      </c>
      <c r="C18" s="24">
        <v>35</v>
      </c>
      <c r="D18" s="17" t="s">
        <v>53</v>
      </c>
      <c r="E18" s="22">
        <v>12</v>
      </c>
      <c r="F18" s="23">
        <v>175000</v>
      </c>
      <c r="G18" s="18">
        <v>701234515</v>
      </c>
    </row>
    <row r="19" spans="1:7" ht="17.25" x14ac:dyDescent="0.25">
      <c r="A19" s="17" t="s">
        <v>184</v>
      </c>
      <c r="B19" s="17" t="s">
        <v>88</v>
      </c>
      <c r="C19" s="24">
        <v>36</v>
      </c>
      <c r="D19" s="17" t="s">
        <v>54</v>
      </c>
      <c r="E19" s="22">
        <v>5</v>
      </c>
      <c r="F19" s="23">
        <v>180000</v>
      </c>
      <c r="G19" s="18">
        <v>502345601</v>
      </c>
    </row>
    <row r="20" spans="1:7" ht="17.25" x14ac:dyDescent="0.25">
      <c r="A20" s="17" t="s">
        <v>185</v>
      </c>
      <c r="B20" s="17" t="s">
        <v>89</v>
      </c>
      <c r="C20" s="24">
        <v>37</v>
      </c>
      <c r="D20" s="17" t="s">
        <v>51</v>
      </c>
      <c r="E20" s="22">
        <v>6</v>
      </c>
      <c r="F20" s="23">
        <v>185000</v>
      </c>
      <c r="G20" s="18">
        <v>502345602</v>
      </c>
    </row>
    <row r="21" spans="1:7" ht="17.25" x14ac:dyDescent="0.25">
      <c r="A21" s="17" t="s">
        <v>186</v>
      </c>
      <c r="B21" s="17" t="s">
        <v>90</v>
      </c>
      <c r="C21" s="24">
        <v>38</v>
      </c>
      <c r="D21" s="17" t="s">
        <v>52</v>
      </c>
      <c r="E21" s="22">
        <v>7</v>
      </c>
      <c r="F21" s="23">
        <v>190000</v>
      </c>
      <c r="G21" s="18">
        <v>502345603</v>
      </c>
    </row>
    <row r="22" spans="1:7" ht="17.25" x14ac:dyDescent="0.25">
      <c r="A22" s="17" t="s">
        <v>187</v>
      </c>
      <c r="B22" s="17" t="s">
        <v>91</v>
      </c>
      <c r="C22" s="24">
        <v>39</v>
      </c>
      <c r="D22" s="17" t="s">
        <v>53</v>
      </c>
      <c r="E22" s="22">
        <v>8</v>
      </c>
      <c r="F22" s="23">
        <v>195000</v>
      </c>
      <c r="G22" s="18">
        <v>502345604</v>
      </c>
    </row>
    <row r="23" spans="1:7" ht="17.25" x14ac:dyDescent="0.25">
      <c r="A23" s="17" t="s">
        <v>188</v>
      </c>
      <c r="B23" s="17" t="s">
        <v>92</v>
      </c>
      <c r="C23" s="24">
        <v>40</v>
      </c>
      <c r="D23" s="17" t="s">
        <v>54</v>
      </c>
      <c r="E23" s="22">
        <v>9</v>
      </c>
      <c r="F23" s="23">
        <v>200000</v>
      </c>
      <c r="G23" s="18">
        <v>502345605</v>
      </c>
    </row>
    <row r="24" spans="1:7" ht="17.25" x14ac:dyDescent="0.25">
      <c r="A24" s="17" t="s">
        <v>189</v>
      </c>
      <c r="B24" s="17" t="s">
        <v>93</v>
      </c>
      <c r="C24" s="24">
        <v>41</v>
      </c>
      <c r="D24" s="17" t="s">
        <v>51</v>
      </c>
      <c r="E24" s="22">
        <v>10</v>
      </c>
      <c r="F24" s="23">
        <v>205000</v>
      </c>
      <c r="G24" s="18">
        <v>502345606</v>
      </c>
    </row>
    <row r="25" spans="1:7" ht="17.25" x14ac:dyDescent="0.25">
      <c r="A25" s="17" t="s">
        <v>190</v>
      </c>
      <c r="B25" s="17" t="s">
        <v>92</v>
      </c>
      <c r="C25" s="24">
        <v>42</v>
      </c>
      <c r="D25" s="17" t="s">
        <v>52</v>
      </c>
      <c r="E25" s="22">
        <v>11</v>
      </c>
      <c r="F25" s="23">
        <v>210000</v>
      </c>
      <c r="G25" s="18">
        <v>502345607</v>
      </c>
    </row>
    <row r="26" spans="1:7" ht="17.25" x14ac:dyDescent="0.25">
      <c r="A26" s="17" t="s">
        <v>191</v>
      </c>
      <c r="B26" s="17" t="s">
        <v>94</v>
      </c>
      <c r="C26" s="24">
        <v>43</v>
      </c>
      <c r="D26" s="17" t="s">
        <v>53</v>
      </c>
      <c r="E26" s="22">
        <v>12</v>
      </c>
      <c r="F26" s="23">
        <v>215000</v>
      </c>
      <c r="G26" s="18">
        <v>103456701</v>
      </c>
    </row>
    <row r="27" spans="1:7" ht="17.25" x14ac:dyDescent="0.25">
      <c r="A27" s="17" t="s">
        <v>192</v>
      </c>
      <c r="B27" s="17" t="s">
        <v>95</v>
      </c>
      <c r="C27" s="24">
        <v>44</v>
      </c>
      <c r="D27" s="17" t="s">
        <v>54</v>
      </c>
      <c r="E27" s="22">
        <v>5</v>
      </c>
      <c r="F27" s="23">
        <v>220000</v>
      </c>
      <c r="G27" s="18">
        <v>103456702</v>
      </c>
    </row>
    <row r="28" spans="1:7" ht="17.25" x14ac:dyDescent="0.25">
      <c r="A28" s="17" t="s">
        <v>193</v>
      </c>
      <c r="B28" s="17" t="s">
        <v>96</v>
      </c>
      <c r="C28" s="24">
        <v>45</v>
      </c>
      <c r="D28" s="17" t="s">
        <v>51</v>
      </c>
      <c r="E28" s="22">
        <v>6</v>
      </c>
      <c r="F28" s="23">
        <v>225000</v>
      </c>
      <c r="G28" s="18">
        <v>103456703</v>
      </c>
    </row>
    <row r="29" spans="1:7" ht="17.25" x14ac:dyDescent="0.25">
      <c r="A29" s="17" t="s">
        <v>194</v>
      </c>
      <c r="B29" s="17" t="s">
        <v>97</v>
      </c>
      <c r="C29" s="24">
        <v>46</v>
      </c>
      <c r="D29" s="17" t="s">
        <v>52</v>
      </c>
      <c r="E29" s="22">
        <v>7</v>
      </c>
      <c r="F29" s="23">
        <v>230000</v>
      </c>
      <c r="G29" s="18">
        <v>103456704</v>
      </c>
    </row>
    <row r="30" spans="1:7" ht="17.25" x14ac:dyDescent="0.25">
      <c r="A30" s="17" t="s">
        <v>195</v>
      </c>
      <c r="B30" s="17" t="s">
        <v>98</v>
      </c>
      <c r="C30" s="24">
        <v>47</v>
      </c>
      <c r="D30" s="17" t="s">
        <v>53</v>
      </c>
      <c r="E30" s="22">
        <v>8</v>
      </c>
      <c r="F30" s="23">
        <v>235000</v>
      </c>
      <c r="G30" s="18">
        <v>103456705</v>
      </c>
    </row>
    <row r="31" spans="1:7" ht="17.25" x14ac:dyDescent="0.25">
      <c r="A31" s="17" t="s">
        <v>196</v>
      </c>
      <c r="B31" s="17" t="s">
        <v>77</v>
      </c>
      <c r="C31" s="24">
        <v>48</v>
      </c>
      <c r="D31" s="17" t="s">
        <v>54</v>
      </c>
      <c r="E31" s="22">
        <v>9</v>
      </c>
      <c r="F31" s="23">
        <v>240000</v>
      </c>
      <c r="G31" s="18">
        <v>103456706</v>
      </c>
    </row>
    <row r="32" spans="1:7" ht="17.25" x14ac:dyDescent="0.25">
      <c r="A32" s="17" t="s">
        <v>197</v>
      </c>
      <c r="B32" s="17" t="s">
        <v>99</v>
      </c>
      <c r="C32" s="24">
        <v>49</v>
      </c>
      <c r="D32" s="17" t="s">
        <v>51</v>
      </c>
      <c r="E32" s="22">
        <v>10</v>
      </c>
      <c r="F32" s="23">
        <v>245000</v>
      </c>
      <c r="G32" s="18">
        <v>103456707</v>
      </c>
    </row>
    <row r="33" spans="1:7" ht="17.25" x14ac:dyDescent="0.25">
      <c r="A33" s="17" t="s">
        <v>198</v>
      </c>
      <c r="B33" s="17" t="s">
        <v>100</v>
      </c>
      <c r="C33" s="24">
        <v>50</v>
      </c>
      <c r="D33" s="17" t="s">
        <v>52</v>
      </c>
      <c r="E33" s="22">
        <v>11</v>
      </c>
      <c r="F33" s="23">
        <v>250000</v>
      </c>
      <c r="G33" s="18">
        <v>103456708</v>
      </c>
    </row>
    <row r="34" spans="1:7" ht="17.25" x14ac:dyDescent="0.25">
      <c r="A34" s="17" t="s">
        <v>199</v>
      </c>
      <c r="B34" s="17" t="s">
        <v>75</v>
      </c>
      <c r="C34" s="24">
        <v>51</v>
      </c>
      <c r="D34" s="17" t="s">
        <v>53</v>
      </c>
      <c r="E34" s="22">
        <v>12</v>
      </c>
      <c r="F34" s="23">
        <v>255000</v>
      </c>
      <c r="G34" s="18">
        <v>103456708</v>
      </c>
    </row>
    <row r="35" spans="1:7" ht="17.25" x14ac:dyDescent="0.25">
      <c r="A35" s="17" t="s">
        <v>200</v>
      </c>
      <c r="B35" s="17" t="s">
        <v>101</v>
      </c>
      <c r="C35" s="24">
        <v>52</v>
      </c>
      <c r="D35" s="17" t="s">
        <v>54</v>
      </c>
      <c r="E35" s="22">
        <v>5</v>
      </c>
      <c r="F35" s="23">
        <v>260000</v>
      </c>
      <c r="G35" s="18">
        <v>103456708</v>
      </c>
    </row>
    <row r="36" spans="1:7" ht="17.25" x14ac:dyDescent="0.25">
      <c r="A36" s="17" t="s">
        <v>201</v>
      </c>
      <c r="B36" s="17" t="s">
        <v>102</v>
      </c>
      <c r="C36" s="24">
        <v>53</v>
      </c>
      <c r="D36" s="17" t="s">
        <v>51</v>
      </c>
      <c r="E36" s="22">
        <v>6</v>
      </c>
      <c r="F36" s="23">
        <v>265000</v>
      </c>
      <c r="G36" s="18">
        <v>502345607</v>
      </c>
    </row>
    <row r="37" spans="1:7" ht="17.25" x14ac:dyDescent="0.25">
      <c r="A37" s="17" t="s">
        <v>202</v>
      </c>
      <c r="B37" s="17" t="s">
        <v>75</v>
      </c>
      <c r="C37" s="24">
        <v>54</v>
      </c>
      <c r="D37" s="17" t="s">
        <v>52</v>
      </c>
      <c r="E37" s="22">
        <v>7</v>
      </c>
      <c r="F37" s="23">
        <v>270000</v>
      </c>
      <c r="G37" s="18">
        <v>103456701</v>
      </c>
    </row>
    <row r="38" spans="1:7" ht="17.25" x14ac:dyDescent="0.25">
      <c r="A38" s="17" t="s">
        <v>203</v>
      </c>
      <c r="B38" s="17" t="s">
        <v>103</v>
      </c>
      <c r="C38" s="24">
        <v>55</v>
      </c>
      <c r="D38" s="17" t="s">
        <v>53</v>
      </c>
      <c r="E38" s="22">
        <v>8</v>
      </c>
      <c r="F38" s="23">
        <v>275000</v>
      </c>
      <c r="G38" s="18">
        <v>103456702</v>
      </c>
    </row>
    <row r="39" spans="1:7" ht="17.25" x14ac:dyDescent="0.25">
      <c r="A39" s="17" t="s">
        <v>204</v>
      </c>
      <c r="B39" s="17" t="s">
        <v>12</v>
      </c>
      <c r="C39" s="24">
        <v>56</v>
      </c>
      <c r="D39" s="17" t="s">
        <v>54</v>
      </c>
      <c r="E39" s="22">
        <v>9</v>
      </c>
      <c r="F39" s="23">
        <v>280000</v>
      </c>
      <c r="G39" s="18">
        <v>103456703</v>
      </c>
    </row>
    <row r="40" spans="1:7" ht="17.25" x14ac:dyDescent="0.25">
      <c r="A40" s="17" t="s">
        <v>205</v>
      </c>
      <c r="B40" s="17" t="s">
        <v>78</v>
      </c>
      <c r="C40" s="24">
        <v>57</v>
      </c>
      <c r="D40" s="17" t="s">
        <v>51</v>
      </c>
      <c r="E40" s="22">
        <v>10</v>
      </c>
      <c r="F40" s="23">
        <v>285000</v>
      </c>
      <c r="G40" s="18">
        <v>103456707</v>
      </c>
    </row>
    <row r="41" spans="1:7" ht="17.25" x14ac:dyDescent="0.25">
      <c r="A41" s="17" t="s">
        <v>206</v>
      </c>
      <c r="B41" s="17" t="s">
        <v>83</v>
      </c>
      <c r="C41" s="24">
        <v>58</v>
      </c>
      <c r="D41" s="17" t="s">
        <v>52</v>
      </c>
      <c r="E41" s="22">
        <v>11</v>
      </c>
      <c r="F41" s="23">
        <v>290000</v>
      </c>
      <c r="G41" s="18">
        <v>103456757</v>
      </c>
    </row>
    <row r="42" spans="1:7" ht="17.25" x14ac:dyDescent="0.25">
      <c r="A42" s="17" t="s">
        <v>207</v>
      </c>
      <c r="B42" s="17" t="s">
        <v>78</v>
      </c>
      <c r="C42" s="24">
        <v>59</v>
      </c>
      <c r="D42" s="17" t="s">
        <v>53</v>
      </c>
      <c r="E42" s="22">
        <v>12</v>
      </c>
      <c r="F42" s="23">
        <v>295000</v>
      </c>
      <c r="G42" s="18">
        <v>103496707</v>
      </c>
    </row>
    <row r="43" spans="1:7" ht="17.25" x14ac:dyDescent="0.25">
      <c r="A43" s="17" t="s">
        <v>208</v>
      </c>
      <c r="B43" s="17" t="s">
        <v>83</v>
      </c>
      <c r="C43" s="24">
        <v>60</v>
      </c>
      <c r="D43" s="17" t="s">
        <v>54</v>
      </c>
      <c r="E43" s="22">
        <v>5</v>
      </c>
      <c r="F43" s="23">
        <v>300000</v>
      </c>
      <c r="G43" s="18">
        <v>102456707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2A72-D83C-459E-BC67-791069B3B68C}">
  <dimension ref="A2:C11"/>
  <sheetViews>
    <sheetView workbookViewId="0">
      <selection activeCell="B6" sqref="B6"/>
    </sheetView>
  </sheetViews>
  <sheetFormatPr baseColWidth="10" defaultColWidth="9.140625" defaultRowHeight="15" x14ac:dyDescent="0.25"/>
  <cols>
    <col min="1" max="2" width="28" customWidth="1"/>
    <col min="3" max="3" width="11.42578125" bestFit="1" customWidth="1"/>
  </cols>
  <sheetData>
    <row r="2" spans="1:3" ht="18" x14ac:dyDescent="0.25">
      <c r="A2" s="34" t="s">
        <v>55</v>
      </c>
      <c r="B2" s="28">
        <v>12000000</v>
      </c>
    </row>
    <row r="3" spans="1:3" ht="18" x14ac:dyDescent="0.25">
      <c r="A3" s="34" t="s">
        <v>56</v>
      </c>
      <c r="B3" s="29">
        <v>0.08</v>
      </c>
    </row>
    <row r="4" spans="1:3" ht="18" x14ac:dyDescent="0.25">
      <c r="A4" s="34" t="s">
        <v>57</v>
      </c>
      <c r="B4" s="28">
        <v>350000</v>
      </c>
    </row>
    <row r="5" spans="1:3" ht="18" x14ac:dyDescent="0.25">
      <c r="A5" s="25"/>
      <c r="B5" s="25"/>
    </row>
    <row r="6" spans="1:3" ht="32.25" x14ac:dyDescent="0.25">
      <c r="A6" s="40" t="s">
        <v>211</v>
      </c>
      <c r="B6" s="41"/>
    </row>
    <row r="7" spans="1:3" ht="18" x14ac:dyDescent="0.25">
      <c r="A7" s="25"/>
      <c r="B7" s="25"/>
    </row>
    <row r="11" spans="1:3" x14ac:dyDescent="0.25">
      <c r="C11" s="2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3D43-F829-4F3A-B9CB-96251F32E4AD}">
  <dimension ref="A1:D7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49.5703125" customWidth="1"/>
    <col min="2" max="2" width="14.7109375" customWidth="1"/>
    <col min="3" max="3" width="16.42578125" customWidth="1"/>
    <col min="4" max="4" width="16.5703125" customWidth="1"/>
  </cols>
  <sheetData>
    <row r="1" spans="1:4" ht="18" x14ac:dyDescent="0.25">
      <c r="A1" s="27" t="s">
        <v>214</v>
      </c>
      <c r="B1" s="30" t="s">
        <v>212</v>
      </c>
      <c r="C1" s="30" t="s">
        <v>213</v>
      </c>
      <c r="D1" s="30" t="s">
        <v>58</v>
      </c>
    </row>
    <row r="2" spans="1:4" ht="17.25" x14ac:dyDescent="0.3">
      <c r="A2" s="38" t="s">
        <v>215</v>
      </c>
      <c r="B2" s="4">
        <v>4500</v>
      </c>
      <c r="C2" s="4">
        <v>4800</v>
      </c>
      <c r="D2" s="4">
        <v>5000</v>
      </c>
    </row>
    <row r="3" spans="1:4" ht="17.25" x14ac:dyDescent="0.3">
      <c r="A3" s="38" t="s">
        <v>216</v>
      </c>
      <c r="B3" s="4">
        <v>2000</v>
      </c>
      <c r="C3" s="4">
        <v>2200</v>
      </c>
      <c r="D3" s="4">
        <v>2400</v>
      </c>
    </row>
    <row r="4" spans="1:4" ht="17.25" x14ac:dyDescent="0.3">
      <c r="A4" s="38" t="s">
        <v>217</v>
      </c>
      <c r="B4" s="4">
        <v>1000</v>
      </c>
      <c r="C4" s="4">
        <v>1100</v>
      </c>
      <c r="D4" s="4">
        <v>1200</v>
      </c>
    </row>
    <row r="5" spans="1:4" ht="17.25" x14ac:dyDescent="0.3">
      <c r="A5" s="38" t="s">
        <v>218</v>
      </c>
      <c r="B5" s="4">
        <v>600</v>
      </c>
      <c r="C5" s="4">
        <v>650</v>
      </c>
      <c r="D5" s="4">
        <v>800</v>
      </c>
    </row>
    <row r="6" spans="1:4" ht="17.25" x14ac:dyDescent="0.3">
      <c r="A6" s="38" t="s">
        <v>59</v>
      </c>
      <c r="B6" s="4">
        <v>250</v>
      </c>
      <c r="C6" s="4">
        <v>280</v>
      </c>
      <c r="D6" s="4">
        <v>520</v>
      </c>
    </row>
    <row r="7" spans="1:4" ht="17.25" x14ac:dyDescent="0.3">
      <c r="A7" s="38" t="s">
        <v>60</v>
      </c>
      <c r="B7" s="4">
        <v>200</v>
      </c>
      <c r="C7" s="4">
        <v>240</v>
      </c>
      <c r="D7" s="4">
        <v>450</v>
      </c>
    </row>
  </sheetData>
  <pageMargins left="0.75" right="0.75" top="1" bottom="1" header="0.5" footer="0.5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542E-3357-434C-AC5F-480424BDF582}">
  <dimension ref="A1:H11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18" customWidth="1"/>
    <col min="2" max="2" width="22.85546875" customWidth="1"/>
    <col min="3" max="3" width="26.140625" customWidth="1"/>
    <col min="4" max="8" width="18" customWidth="1"/>
  </cols>
  <sheetData>
    <row r="1" spans="1:8" ht="15.75" x14ac:dyDescent="0.25">
      <c r="A1" s="34" t="s">
        <v>61</v>
      </c>
      <c r="B1" s="35" t="s">
        <v>62</v>
      </c>
      <c r="C1" s="36" t="s">
        <v>63</v>
      </c>
      <c r="D1" s="37" t="s">
        <v>64</v>
      </c>
      <c r="G1" s="1"/>
    </row>
    <row r="2" spans="1:8" ht="17.25" x14ac:dyDescent="0.3">
      <c r="A2" s="38" t="s">
        <v>65</v>
      </c>
      <c r="B2" s="39" t="s">
        <v>66</v>
      </c>
      <c r="C2" s="4">
        <v>25</v>
      </c>
      <c r="D2" s="5">
        <v>1250000</v>
      </c>
      <c r="G2" s="1"/>
      <c r="H2" s="1"/>
    </row>
    <row r="3" spans="1:8" ht="17.25" x14ac:dyDescent="0.3">
      <c r="A3" s="38" t="s">
        <v>67</v>
      </c>
      <c r="B3" s="39" t="s">
        <v>66</v>
      </c>
      <c r="C3" s="4">
        <v>18</v>
      </c>
      <c r="D3" s="5">
        <v>900000</v>
      </c>
    </row>
    <row r="4" spans="1:8" ht="17.25" x14ac:dyDescent="0.3">
      <c r="A4" s="38" t="s">
        <v>68</v>
      </c>
      <c r="B4" s="39" t="s">
        <v>66</v>
      </c>
      <c r="C4" s="4">
        <v>15</v>
      </c>
      <c r="D4" s="5">
        <v>750000</v>
      </c>
    </row>
    <row r="5" spans="1:8" ht="17.25" x14ac:dyDescent="0.3">
      <c r="A5" s="38" t="s">
        <v>69</v>
      </c>
      <c r="B5" s="39" t="s">
        <v>66</v>
      </c>
      <c r="C5" s="4">
        <v>12</v>
      </c>
      <c r="D5" s="5">
        <v>600000</v>
      </c>
    </row>
    <row r="6" spans="1:8" ht="17.25" x14ac:dyDescent="0.3">
      <c r="A6" s="38" t="s">
        <v>70</v>
      </c>
      <c r="B6" s="39" t="s">
        <v>66</v>
      </c>
      <c r="C6" s="4">
        <v>20</v>
      </c>
      <c r="D6" s="5">
        <v>1000000</v>
      </c>
    </row>
    <row r="7" spans="1:8" ht="17.25" x14ac:dyDescent="0.3">
      <c r="A7" s="38" t="s">
        <v>65</v>
      </c>
      <c r="B7" s="39" t="s">
        <v>71</v>
      </c>
      <c r="C7" s="4">
        <v>10</v>
      </c>
      <c r="D7" s="5">
        <v>1800000</v>
      </c>
    </row>
    <row r="8" spans="1:8" ht="17.25" x14ac:dyDescent="0.3">
      <c r="A8" s="38" t="s">
        <v>67</v>
      </c>
      <c r="B8" s="39" t="s">
        <v>72</v>
      </c>
      <c r="C8" s="4">
        <v>30</v>
      </c>
      <c r="D8" s="5">
        <v>1200000</v>
      </c>
    </row>
    <row r="9" spans="1:8" ht="17.25" x14ac:dyDescent="0.3">
      <c r="A9" s="38" t="s">
        <v>68</v>
      </c>
      <c r="B9" s="39" t="s">
        <v>73</v>
      </c>
      <c r="C9" s="4">
        <v>22</v>
      </c>
      <c r="D9" s="5">
        <v>550000</v>
      </c>
    </row>
    <row r="10" spans="1:8" ht="17.25" x14ac:dyDescent="0.3">
      <c r="A10" s="38" t="s">
        <v>69</v>
      </c>
      <c r="B10" s="39" t="s">
        <v>71</v>
      </c>
      <c r="C10" s="4">
        <v>8</v>
      </c>
      <c r="D10" s="5">
        <v>1400000</v>
      </c>
    </row>
    <row r="11" spans="1:8" ht="17.25" x14ac:dyDescent="0.3">
      <c r="A11" s="38" t="s">
        <v>70</v>
      </c>
      <c r="B11" s="39" t="s">
        <v>72</v>
      </c>
      <c r="C11" s="4">
        <v>28</v>
      </c>
      <c r="D11" s="5">
        <v>1100000</v>
      </c>
    </row>
  </sheetData>
  <pageMargins left="0.75" right="0.75" top="1" bottom="1" header="0.5" footer="0.5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D929-8493-4ADF-AB30-AAAEAB9CFBBA}">
  <dimension ref="A1:H9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1" bestFit="1" customWidth="1"/>
    <col min="2" max="2" width="27" bestFit="1" customWidth="1"/>
    <col min="3" max="3" width="7.85546875" bestFit="1" customWidth="1"/>
    <col min="4" max="4" width="6.7109375" bestFit="1" customWidth="1"/>
    <col min="5" max="5" width="5" bestFit="1" customWidth="1"/>
    <col min="6" max="6" width="12.5703125" bestFit="1" customWidth="1"/>
    <col min="7" max="8" width="18" customWidth="1"/>
  </cols>
  <sheetData>
    <row r="1" spans="1:8" x14ac:dyDescent="0.25">
      <c r="A1" s="31" t="s">
        <v>62</v>
      </c>
      <c r="B1" t="s">
        <v>221</v>
      </c>
      <c r="D1" s="1"/>
      <c r="G1" s="1"/>
    </row>
    <row r="2" spans="1:8" x14ac:dyDescent="0.25">
      <c r="G2" s="1"/>
      <c r="H2" s="1"/>
    </row>
    <row r="3" spans="1:8" x14ac:dyDescent="0.25">
      <c r="A3" s="31" t="s">
        <v>222</v>
      </c>
      <c r="B3" t="s">
        <v>220</v>
      </c>
    </row>
    <row r="4" spans="1:8" x14ac:dyDescent="0.25">
      <c r="A4" s="32" t="s">
        <v>65</v>
      </c>
      <c r="B4" s="33">
        <v>35</v>
      </c>
    </row>
    <row r="5" spans="1:8" x14ac:dyDescent="0.25">
      <c r="A5" s="32" t="s">
        <v>69</v>
      </c>
      <c r="B5" s="33">
        <v>20</v>
      </c>
    </row>
    <row r="6" spans="1:8" x14ac:dyDescent="0.25">
      <c r="A6" s="32" t="s">
        <v>67</v>
      </c>
      <c r="B6" s="33">
        <v>48</v>
      </c>
    </row>
    <row r="7" spans="1:8" x14ac:dyDescent="0.25">
      <c r="A7" s="32" t="s">
        <v>70</v>
      </c>
      <c r="B7" s="33">
        <v>48</v>
      </c>
    </row>
    <row r="8" spans="1:8" x14ac:dyDescent="0.25">
      <c r="A8" s="32" t="s">
        <v>68</v>
      </c>
      <c r="B8" s="33">
        <v>37</v>
      </c>
    </row>
    <row r="9" spans="1:8" x14ac:dyDescent="0.25">
      <c r="A9" s="32" t="s">
        <v>219</v>
      </c>
      <c r="B9" s="33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Prix</vt:lpstr>
      <vt:lpstr>Clients</vt:lpstr>
      <vt:lpstr>Extension de bureau</vt:lpstr>
      <vt:lpstr>Marketing</vt:lpstr>
      <vt:lpstr>Donées locations</vt:lpstr>
      <vt:lpstr>Analyse des locations</vt:lpstr>
      <vt:lpstr>Prix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2026-08-05T19:32:14Z</dcterms:created>
  <dcterms:modified xsi:type="dcterms:W3CDTF">2026-08-07T04:59:53Z</dcterms:modified>
  <cp:category/>
  <cp:contentStatus/>
</cp:coreProperties>
</file>
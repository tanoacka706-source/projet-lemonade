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9135" windowHeight="4455"/>
  </bookViews>
  <sheets>
    <sheet name="Mars" sheetId="5" r:id="rId1"/>
  </sheets>
  <calcPr calcId="145621"/>
</workbook>
</file>

<file path=xl/calcChain.xml><?xml version="1.0" encoding="utf-8"?>
<calcChain xmlns="http://schemas.openxmlformats.org/spreadsheetml/2006/main">
  <c r="H9" i="5" l="1"/>
  <c r="J8" i="5"/>
  <c r="J19" i="5" l="1"/>
  <c r="J18" i="5"/>
  <c r="J17" i="5"/>
  <c r="J16" i="5"/>
  <c r="J15" i="5"/>
  <c r="J14" i="5"/>
  <c r="J13" i="5"/>
  <c r="J12" i="5"/>
  <c r="J11" i="5"/>
  <c r="J10" i="5"/>
  <c r="J9" i="5"/>
  <c r="C29" i="5" l="1"/>
  <c r="F9" i="5"/>
  <c r="I8" i="5"/>
  <c r="C30" i="5" l="1"/>
  <c r="I19" i="5" l="1"/>
  <c r="I18" i="5"/>
  <c r="I17" i="5"/>
  <c r="I16" i="5"/>
  <c r="I15" i="5"/>
  <c r="I14" i="5"/>
  <c r="I13" i="5"/>
  <c r="I12" i="5"/>
  <c r="I11" i="5"/>
  <c r="I10" i="5"/>
  <c r="I9" i="5"/>
  <c r="I22" i="5" s="1"/>
  <c r="E20" i="5" l="1"/>
  <c r="D20" i="5"/>
  <c r="C20" i="5"/>
  <c r="F19" i="5"/>
  <c r="F18" i="5"/>
  <c r="F17" i="5"/>
  <c r="F16" i="5"/>
  <c r="F15" i="5"/>
  <c r="F14" i="5"/>
  <c r="F13" i="5"/>
  <c r="F12" i="5"/>
  <c r="F11" i="5"/>
  <c r="F10" i="5"/>
  <c r="F8" i="5"/>
  <c r="J20" i="5" l="1"/>
  <c r="B27" i="5"/>
  <c r="B26" i="5"/>
  <c r="B25" i="5"/>
  <c r="F20" i="5"/>
  <c r="G20" i="5"/>
  <c r="G8" i="5"/>
  <c r="G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E31" i="5" l="1"/>
  <c r="I23" i="5"/>
  <c r="H8" i="5"/>
  <c r="H20" i="5" s="1"/>
</calcChain>
</file>

<file path=xl/sharedStrings.xml><?xml version="1.0" encoding="utf-8"?>
<sst xmlns="http://schemas.openxmlformats.org/spreadsheetml/2006/main" count="46" uniqueCount="36">
  <si>
    <t xml:space="preserve"> </t>
  </si>
  <si>
    <t>Vidéo</t>
  </si>
  <si>
    <t>Micro</t>
  </si>
  <si>
    <t>TOTAL</t>
  </si>
  <si>
    <t>Tableau réalisé le :</t>
  </si>
  <si>
    <t>Hi-fi</t>
  </si>
  <si>
    <t>Commission</t>
  </si>
  <si>
    <t>Objectif</t>
  </si>
  <si>
    <t>Répartition
du CA</t>
  </si>
  <si>
    <t>Moyenne du CA</t>
  </si>
  <si>
    <t>Objectif atteint :</t>
  </si>
  <si>
    <t>Objectif non atteint :</t>
  </si>
  <si>
    <t>Ville</t>
  </si>
  <si>
    <t>Beaudu Sophie</t>
  </si>
  <si>
    <t>Dupré Dominique</t>
  </si>
  <si>
    <t>Guy Corinne</t>
  </si>
  <si>
    <t>Martinet Antoine</t>
  </si>
  <si>
    <t>Huchet Nicolas</t>
  </si>
  <si>
    <t>Blouin Nathalie</t>
  </si>
  <si>
    <t>Toussin Paul</t>
  </si>
  <si>
    <t>Le Parc Jean</t>
  </si>
  <si>
    <t>Pilat Lionel</t>
  </si>
  <si>
    <t>CHIFFRE D'AFFAIRES RÉALISÉ RÉGION OUEST</t>
  </si>
  <si>
    <t>Pierre Lucat</t>
  </si>
  <si>
    <t>Christine Mandart</t>
  </si>
  <si>
    <t>Lucie Gendron</t>
  </si>
  <si>
    <t>NANTES</t>
  </si>
  <si>
    <t>ANGERS</t>
  </si>
  <si>
    <t>RENNES</t>
  </si>
  <si>
    <t>Moyenne des CA</t>
  </si>
  <si>
    <t>CA maximum</t>
  </si>
  <si>
    <t>CA minimum</t>
  </si>
  <si>
    <t>Somme CA  Nantes + objetctif atteint + commistion &gt; à 1300</t>
  </si>
  <si>
    <t>CA moyen des vendeurs d'Angers</t>
  </si>
  <si>
    <t>Nbre vendeurs Nantes CA &gt;= 100000</t>
  </si>
  <si>
    <t>MARS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</si>
</sst>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\ &quot;F&quot;_-;\-* #,##0.00\ &quot;F&quot;_-;_-* &quot;-&quot;??\ &quot;F&quot;_-;_-@_-"/>
    <numFmt numFmtId="165" formatCode="_-* #,##0.00\ _F_-;\-* #,##0.00\ _F_-;_-* &quot;-&quot;??\ _F_-;_-@_-"/>
    <numFmt numFmtId="166" formatCode="#,##0.00\ _€"/>
    <numFmt numFmtId="167" formatCode="_-* #,##0\ _F_-;\-* #,##0\ _F_-;_-* &quot;-&quot;??\ _F_-;_-@_-"/>
  </numFmts>
  <fonts count="12" x14ac:knownFonts="1">
    <font>
      <sz val="10"/>
      <name val="Arial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Berlin Sans FB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35">
    <xf numFmtId="0" fontId="0" fillId="0" borderId="0" xfId="0"/>
    <xf numFmtId="0" fontId="5" fillId="0" borderId="0" xfId="0" applyFont="1"/>
    <xf numFmtId="0" fontId="6" fillId="0" borderId="0" xfId="0" applyFont="1" applyFill="1" applyBorder="1"/>
    <xf numFmtId="0" fontId="5" fillId="0" borderId="0" xfId="2" applyNumberFormat="1" applyFont="1" applyFill="1" applyBorder="1"/>
    <xf numFmtId="0" fontId="5" fillId="0" borderId="0" xfId="3" applyNumberFormat="1" applyFont="1" applyFill="1" applyBorder="1"/>
    <xf numFmtId="0" fontId="5" fillId="0" borderId="0" xfId="0" applyFont="1" applyFill="1" applyBorder="1"/>
    <xf numFmtId="14" fontId="5" fillId="0" borderId="0" xfId="0" applyNumberFormat="1" applyFont="1"/>
    <xf numFmtId="9" fontId="4" fillId="4" borderId="2" xfId="3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9" fontId="4" fillId="5" borderId="2" xfId="3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2" xfId="3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37" fontId="4" fillId="4" borderId="2" xfId="1" applyNumberFormat="1" applyFont="1" applyFill="1" applyBorder="1" applyAlignment="1">
      <alignment vertical="center"/>
    </xf>
    <xf numFmtId="37" fontId="4" fillId="5" borderId="2" xfId="1" applyNumberFormat="1" applyFont="1" applyFill="1" applyBorder="1" applyAlignment="1">
      <alignment vertical="center"/>
    </xf>
    <xf numFmtId="166" fontId="4" fillId="4" borderId="2" xfId="1" applyNumberFormat="1" applyFont="1" applyFill="1" applyBorder="1" applyAlignment="1">
      <alignment vertical="center"/>
    </xf>
    <xf numFmtId="166" fontId="4" fillId="5" borderId="2" xfId="1" applyNumberFormat="1" applyFont="1" applyFill="1" applyBorder="1" applyAlignment="1">
      <alignment vertical="center"/>
    </xf>
    <xf numFmtId="166" fontId="4" fillId="4" borderId="2" xfId="2" applyNumberFormat="1" applyFont="1" applyFill="1" applyBorder="1" applyAlignment="1">
      <alignment vertical="center"/>
    </xf>
    <xf numFmtId="37" fontId="4" fillId="4" borderId="2" xfId="0" applyNumberFormat="1" applyFont="1" applyFill="1" applyBorder="1" applyAlignment="1">
      <alignment vertical="center"/>
    </xf>
    <xf numFmtId="0" fontId="3" fillId="2" borderId="0" xfId="4" applyNumberFormat="1" applyBorder="1" applyAlignment="1">
      <alignment vertical="center"/>
    </xf>
    <xf numFmtId="0" fontId="3" fillId="2" borderId="0" xfId="4" applyAlignment="1">
      <alignment vertical="center"/>
    </xf>
    <xf numFmtId="14" fontId="3" fillId="2" borderId="0" xfId="4" applyNumberFormat="1" applyAlignment="1">
      <alignment vertical="center"/>
    </xf>
    <xf numFmtId="0" fontId="2" fillId="3" borderId="0" xfId="5" applyNumberFormat="1" applyFont="1" applyBorder="1" applyAlignment="1">
      <alignment horizontal="center" vertical="center"/>
    </xf>
    <xf numFmtId="0" fontId="2" fillId="3" borderId="0" xfId="5" applyFont="1" applyAlignment="1">
      <alignment horizontal="center" vertical="center"/>
    </xf>
    <xf numFmtId="0" fontId="10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 wrapText="1"/>
    </xf>
    <xf numFmtId="37" fontId="11" fillId="4" borderId="5" xfId="1" quotePrefix="1" applyNumberFormat="1" applyFont="1" applyFill="1" applyBorder="1" applyAlignment="1">
      <alignment horizontal="center" vertical="center"/>
    </xf>
    <xf numFmtId="167" fontId="2" fillId="3" borderId="0" xfId="1" applyNumberFormat="1" applyFont="1" applyFill="1" applyBorder="1" applyAlignment="1">
      <alignment horizontal="left" vertical="center"/>
    </xf>
    <xf numFmtId="0" fontId="7" fillId="2" borderId="0" xfId="4" applyFont="1" applyAlignment="1">
      <alignment horizontal="center" vertical="center"/>
    </xf>
  </cellXfs>
  <cellStyles count="6">
    <cellStyle name="40 % - Accent6" xfId="5" builtinId="51"/>
    <cellStyle name="Accent6" xfId="4" builtinId="49"/>
    <cellStyle name="Milliers" xfId="1" builtinId="3"/>
    <cellStyle name="Monétaire" xfId="2" builtinId="4"/>
    <cellStyle name="Normal" xfId="0" builtinId="0"/>
    <cellStyle name="Pourcentage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tabSelected="1" workbookViewId="0">
      <selection sqref="A1:J1"/>
    </sheetView>
  </sheetViews>
  <sheetFormatPr baseColWidth="10" defaultRowHeight="15" x14ac:dyDescent="0.25"/>
  <cols>
    <col min="1" max="2" width="18.28515625" style="1" customWidth="1"/>
    <col min="3" max="5" width="12.7109375" style="1" customWidth="1"/>
    <col min="6" max="6" width="14.85546875" style="1" customWidth="1"/>
    <col min="7" max="7" width="19.5703125" style="1" customWidth="1"/>
    <col min="8" max="8" width="19.28515625" style="1" customWidth="1"/>
    <col min="9" max="9" width="23.7109375" style="1" customWidth="1"/>
    <col min="10" max="10" width="16.42578125" style="1" bestFit="1" customWidth="1"/>
    <col min="11" max="16384" width="11.42578125" style="1"/>
  </cols>
  <sheetData>
    <row r="1" spans="1:10" ht="30.75" customHeight="1" x14ac:dyDescent="0.25">
      <c r="A1" s="34" t="s">
        <v>22</v>
      </c>
      <c r="B1" s="34"/>
      <c r="C1" s="34"/>
      <c r="D1" s="34"/>
      <c r="E1" s="34"/>
      <c r="F1" s="34"/>
      <c r="G1" s="34"/>
      <c r="H1" s="34"/>
      <c r="I1" s="34"/>
      <c r="J1" s="34"/>
    </row>
    <row r="4" spans="1:10" ht="21" x14ac:dyDescent="0.25">
      <c r="A4" s="32" t="s">
        <v>35</v>
      </c>
    </row>
    <row r="6" spans="1:10" x14ac:dyDescent="0.25">
      <c r="D6" s="1" t="s">
        <v>0</v>
      </c>
    </row>
    <row r="7" spans="1:10" ht="37.5" customHeight="1" x14ac:dyDescent="0.25">
      <c r="A7" s="28"/>
      <c r="B7" s="12" t="s">
        <v>12</v>
      </c>
      <c r="C7" s="12" t="s">
        <v>5</v>
      </c>
      <c r="D7" s="12" t="s">
        <v>1</v>
      </c>
      <c r="E7" s="12" t="s">
        <v>2</v>
      </c>
      <c r="F7" s="12" t="s">
        <v>3</v>
      </c>
      <c r="G7" s="13" t="s">
        <v>9</v>
      </c>
      <c r="H7" s="13" t="s">
        <v>8</v>
      </c>
      <c r="I7" s="13" t="s">
        <v>7</v>
      </c>
      <c r="J7" s="12" t="s">
        <v>6</v>
      </c>
    </row>
    <row r="8" spans="1:10" ht="21.75" customHeight="1" x14ac:dyDescent="0.25">
      <c r="A8" s="29" t="s">
        <v>13</v>
      </c>
      <c r="B8" s="26" t="s">
        <v>26</v>
      </c>
      <c r="C8" s="14">
        <v>10000</v>
      </c>
      <c r="D8" s="14">
        <v>25000</v>
      </c>
      <c r="E8" s="14">
        <v>50000</v>
      </c>
      <c r="F8" s="14">
        <f>SUM(C8:E8)</f>
        <v>85000</v>
      </c>
      <c r="G8" s="16">
        <f>AVERAGE(C8:F8)</f>
        <v>42500</v>
      </c>
      <c r="H8" s="7">
        <f>F8/F20</f>
        <v>7.6632497588330226E-2</v>
      </c>
      <c r="I8" s="8" t="str">
        <f>IF(F8&gt;=100000,"Objectif atteint","Objectif non atteint")</f>
        <v>Objectif non atteint</v>
      </c>
      <c r="J8" s="14">
        <f>IF(F8&lt;=40000,F8*0.2%,IF(F8&lt;=70000,F8*0.5%,IF(F8&lt;=100000,F8*1%,F8*2%)))</f>
        <v>850</v>
      </c>
    </row>
    <row r="9" spans="1:10" ht="21.75" customHeight="1" x14ac:dyDescent="0.25">
      <c r="A9" s="30" t="s">
        <v>14</v>
      </c>
      <c r="B9" s="27" t="s">
        <v>27</v>
      </c>
      <c r="C9" s="15">
        <v>8000</v>
      </c>
      <c r="D9" s="15">
        <v>10300</v>
      </c>
      <c r="E9" s="15">
        <v>12890</v>
      </c>
      <c r="F9" s="15">
        <f t="shared" ref="F9" si="0">SUM(C9:E9)</f>
        <v>31190</v>
      </c>
      <c r="G9" s="17">
        <f t="shared" ref="G9:G20" si="1">AVERAGE(C9:F9)</f>
        <v>15595</v>
      </c>
      <c r="H9" s="9">
        <f>F9/F20</f>
        <v>2.8119618820941408E-2</v>
      </c>
      <c r="I9" s="10" t="str">
        <f t="shared" ref="I9:I19" si="2">IF(F9&gt;=100000,"Objectif atteint","Objectif non atteint")</f>
        <v>Objectif non atteint</v>
      </c>
      <c r="J9" s="15">
        <f>IF(F9&lt;=40000,F9*0.2%,IF(F9&lt;=70000,F9*0.5%,IF(F9&lt;=100000,F9*1%,F9*2%)))</f>
        <v>62.38</v>
      </c>
    </row>
    <row r="10" spans="1:10" ht="21.75" customHeight="1" x14ac:dyDescent="0.25">
      <c r="A10" s="29" t="s">
        <v>15</v>
      </c>
      <c r="B10" s="26" t="s">
        <v>28</v>
      </c>
      <c r="C10" s="14">
        <v>10000</v>
      </c>
      <c r="D10" s="14">
        <v>10000</v>
      </c>
      <c r="E10" s="14">
        <v>65000</v>
      </c>
      <c r="F10" s="14">
        <f t="shared" ref="F10:F19" si="3">SUM(C10:E10)</f>
        <v>85000</v>
      </c>
      <c r="G10" s="16">
        <f t="shared" si="1"/>
        <v>42500</v>
      </c>
      <c r="H10" s="7">
        <f t="shared" ref="H10:H19" si="4">F10/$F$20</f>
        <v>7.6632497588330226E-2</v>
      </c>
      <c r="I10" s="8" t="str">
        <f t="shared" si="2"/>
        <v>Objectif non atteint</v>
      </c>
      <c r="J10" s="14">
        <f t="shared" ref="J10:J19" si="5">IF(F10&lt;=40000,F10*0.2%,IF(F10&lt;=70000,F10*0.5%,IF(F10&lt;=100000,F10*1%,F10*2%)))</f>
        <v>850</v>
      </c>
    </row>
    <row r="11" spans="1:10" ht="21.75" customHeight="1" x14ac:dyDescent="0.25">
      <c r="A11" s="30" t="s">
        <v>16</v>
      </c>
      <c r="B11" s="27" t="s">
        <v>26</v>
      </c>
      <c r="C11" s="15">
        <v>12000</v>
      </c>
      <c r="D11" s="15">
        <v>50000</v>
      </c>
      <c r="E11" s="15">
        <v>70000</v>
      </c>
      <c r="F11" s="15">
        <f t="shared" si="3"/>
        <v>132000</v>
      </c>
      <c r="G11" s="17">
        <f t="shared" si="1"/>
        <v>66000</v>
      </c>
      <c r="H11" s="9">
        <f t="shared" si="4"/>
        <v>0.11900576096070105</v>
      </c>
      <c r="I11" s="10" t="str">
        <f t="shared" si="2"/>
        <v>Objectif atteint</v>
      </c>
      <c r="J11" s="15">
        <f t="shared" si="5"/>
        <v>2640</v>
      </c>
    </row>
    <row r="12" spans="1:10" ht="21.75" customHeight="1" x14ac:dyDescent="0.25">
      <c r="A12" s="29" t="s">
        <v>17</v>
      </c>
      <c r="B12" s="26" t="s">
        <v>26</v>
      </c>
      <c r="C12" s="14">
        <v>20000</v>
      </c>
      <c r="D12" s="14">
        <v>40000</v>
      </c>
      <c r="E12" s="14">
        <v>45000</v>
      </c>
      <c r="F12" s="14">
        <f t="shared" si="3"/>
        <v>105000</v>
      </c>
      <c r="G12" s="16">
        <f t="shared" si="1"/>
        <v>52500</v>
      </c>
      <c r="H12" s="7">
        <f t="shared" si="4"/>
        <v>9.4663673491466746E-2</v>
      </c>
      <c r="I12" s="8" t="str">
        <f t="shared" si="2"/>
        <v>Objectif atteint</v>
      </c>
      <c r="J12" s="14">
        <f t="shared" si="5"/>
        <v>2100</v>
      </c>
    </row>
    <row r="13" spans="1:10" ht="21.75" customHeight="1" x14ac:dyDescent="0.25">
      <c r="A13" s="30" t="s">
        <v>18</v>
      </c>
      <c r="B13" s="27" t="s">
        <v>27</v>
      </c>
      <c r="C13" s="15">
        <v>15000</v>
      </c>
      <c r="D13" s="15">
        <v>15000</v>
      </c>
      <c r="E13" s="15">
        <v>70000</v>
      </c>
      <c r="F13" s="15">
        <f t="shared" si="3"/>
        <v>100000</v>
      </c>
      <c r="G13" s="17">
        <f t="shared" si="1"/>
        <v>50000</v>
      </c>
      <c r="H13" s="9">
        <f t="shared" si="4"/>
        <v>9.0155879515682616E-2</v>
      </c>
      <c r="I13" s="10" t="str">
        <f t="shared" si="2"/>
        <v>Objectif atteint</v>
      </c>
      <c r="J13" s="15">
        <f t="shared" si="5"/>
        <v>1000</v>
      </c>
    </row>
    <row r="14" spans="1:10" ht="21.75" customHeight="1" x14ac:dyDescent="0.25">
      <c r="A14" s="29" t="s">
        <v>19</v>
      </c>
      <c r="B14" s="26" t="s">
        <v>27</v>
      </c>
      <c r="C14" s="14">
        <v>10000</v>
      </c>
      <c r="D14" s="14">
        <v>50000</v>
      </c>
      <c r="E14" s="14">
        <v>50000</v>
      </c>
      <c r="F14" s="14">
        <f t="shared" si="3"/>
        <v>110000</v>
      </c>
      <c r="G14" s="16">
        <f t="shared" si="1"/>
        <v>55000</v>
      </c>
      <c r="H14" s="7">
        <f t="shared" si="4"/>
        <v>9.9171467467250876E-2</v>
      </c>
      <c r="I14" s="8" t="str">
        <f t="shared" si="2"/>
        <v>Objectif atteint</v>
      </c>
      <c r="J14" s="14">
        <f t="shared" si="5"/>
        <v>2200</v>
      </c>
    </row>
    <row r="15" spans="1:10" ht="21.75" customHeight="1" x14ac:dyDescent="0.25">
      <c r="A15" s="30" t="s">
        <v>20</v>
      </c>
      <c r="B15" s="27" t="s">
        <v>26</v>
      </c>
      <c r="C15" s="15">
        <v>8000</v>
      </c>
      <c r="D15" s="15">
        <v>15000</v>
      </c>
      <c r="E15" s="15">
        <v>20000</v>
      </c>
      <c r="F15" s="15">
        <f t="shared" si="3"/>
        <v>43000</v>
      </c>
      <c r="G15" s="17">
        <f t="shared" si="1"/>
        <v>21500</v>
      </c>
      <c r="H15" s="9">
        <f t="shared" si="4"/>
        <v>3.8767028191743526E-2</v>
      </c>
      <c r="I15" s="10" t="str">
        <f t="shared" si="2"/>
        <v>Objectif non atteint</v>
      </c>
      <c r="J15" s="15">
        <f t="shared" si="5"/>
        <v>215</v>
      </c>
    </row>
    <row r="16" spans="1:10" ht="21.75" customHeight="1" x14ac:dyDescent="0.25">
      <c r="A16" s="29" t="s">
        <v>21</v>
      </c>
      <c r="B16" s="26" t="s">
        <v>28</v>
      </c>
      <c r="C16" s="14">
        <v>15000</v>
      </c>
      <c r="D16" s="14">
        <v>20000</v>
      </c>
      <c r="E16" s="14">
        <v>50000</v>
      </c>
      <c r="F16" s="14">
        <f t="shared" si="3"/>
        <v>85000</v>
      </c>
      <c r="G16" s="16">
        <f t="shared" si="1"/>
        <v>42500</v>
      </c>
      <c r="H16" s="7">
        <f t="shared" si="4"/>
        <v>7.6632497588330226E-2</v>
      </c>
      <c r="I16" s="8" t="str">
        <f t="shared" si="2"/>
        <v>Objectif non atteint</v>
      </c>
      <c r="J16" s="14">
        <f t="shared" si="5"/>
        <v>850</v>
      </c>
    </row>
    <row r="17" spans="1:10" ht="21.75" customHeight="1" x14ac:dyDescent="0.25">
      <c r="A17" s="30" t="s">
        <v>23</v>
      </c>
      <c r="B17" s="27" t="s">
        <v>28</v>
      </c>
      <c r="C17" s="15">
        <v>20000</v>
      </c>
      <c r="D17" s="15">
        <v>30000</v>
      </c>
      <c r="E17" s="15">
        <v>45000</v>
      </c>
      <c r="F17" s="15">
        <f t="shared" si="3"/>
        <v>95000</v>
      </c>
      <c r="G17" s="17">
        <f t="shared" si="1"/>
        <v>47500</v>
      </c>
      <c r="H17" s="9">
        <f t="shared" si="4"/>
        <v>8.5648085539898486E-2</v>
      </c>
      <c r="I17" s="10" t="str">
        <f t="shared" si="2"/>
        <v>Objectif non atteint</v>
      </c>
      <c r="J17" s="15">
        <f t="shared" si="5"/>
        <v>950</v>
      </c>
    </row>
    <row r="18" spans="1:10" ht="21.75" customHeight="1" x14ac:dyDescent="0.25">
      <c r="A18" s="29" t="s">
        <v>24</v>
      </c>
      <c r="B18" s="26" t="s">
        <v>27</v>
      </c>
      <c r="C18" s="14">
        <v>25000</v>
      </c>
      <c r="D18" s="14">
        <v>35000</v>
      </c>
      <c r="E18" s="14">
        <v>42000</v>
      </c>
      <c r="F18" s="14">
        <f t="shared" si="3"/>
        <v>102000</v>
      </c>
      <c r="G18" s="16">
        <f t="shared" si="1"/>
        <v>51000</v>
      </c>
      <c r="H18" s="7">
        <f t="shared" si="4"/>
        <v>9.1958997105996268E-2</v>
      </c>
      <c r="I18" s="8" t="str">
        <f t="shared" si="2"/>
        <v>Objectif atteint</v>
      </c>
      <c r="J18" s="14">
        <f t="shared" si="5"/>
        <v>2040</v>
      </c>
    </row>
    <row r="19" spans="1:10" ht="21.75" customHeight="1" x14ac:dyDescent="0.25">
      <c r="A19" s="30" t="s">
        <v>25</v>
      </c>
      <c r="B19" s="27" t="s">
        <v>26</v>
      </c>
      <c r="C19" s="15">
        <v>16000</v>
      </c>
      <c r="D19" s="15">
        <v>40000</v>
      </c>
      <c r="E19" s="15">
        <v>80000</v>
      </c>
      <c r="F19" s="15">
        <f t="shared" si="3"/>
        <v>136000</v>
      </c>
      <c r="G19" s="17">
        <f t="shared" si="1"/>
        <v>68000</v>
      </c>
      <c r="H19" s="9">
        <f t="shared" si="4"/>
        <v>0.12261199614132835</v>
      </c>
      <c r="I19" s="10" t="str">
        <f t="shared" si="2"/>
        <v>Objectif atteint</v>
      </c>
      <c r="J19" s="15">
        <f t="shared" si="5"/>
        <v>2720</v>
      </c>
    </row>
    <row r="20" spans="1:10" ht="21.75" customHeight="1" x14ac:dyDescent="0.25">
      <c r="A20" s="31" t="s">
        <v>3</v>
      </c>
      <c r="B20" s="25"/>
      <c r="C20" s="14">
        <f>SUM(C8:C19)</f>
        <v>169000</v>
      </c>
      <c r="D20" s="14">
        <f t="shared" ref="D20:F20" si="6">SUM(D8:D19)</f>
        <v>340300</v>
      </c>
      <c r="E20" s="14">
        <f t="shared" si="6"/>
        <v>599890</v>
      </c>
      <c r="F20" s="14">
        <f t="shared" si="6"/>
        <v>1109190</v>
      </c>
      <c r="G20" s="18">
        <f t="shared" si="1"/>
        <v>554595</v>
      </c>
      <c r="H20" s="7">
        <f>SUM(H8:H19)</f>
        <v>1</v>
      </c>
      <c r="I20" s="11"/>
      <c r="J20" s="19">
        <f>SUM(J8:J19)</f>
        <v>16477.38</v>
      </c>
    </row>
    <row r="21" spans="1:10" x14ac:dyDescent="0.25">
      <c r="A21" s="2"/>
      <c r="B21" s="2"/>
      <c r="C21" s="3"/>
      <c r="D21" s="3"/>
      <c r="E21" s="3"/>
      <c r="F21" s="3"/>
      <c r="G21" s="3"/>
      <c r="H21" s="4"/>
      <c r="I21" s="4"/>
    </row>
    <row r="22" spans="1:10" x14ac:dyDescent="0.25">
      <c r="A22" s="5"/>
      <c r="B22" s="5"/>
      <c r="C22" s="3"/>
      <c r="D22" s="3"/>
      <c r="E22" s="3"/>
      <c r="F22" s="3"/>
      <c r="H22" s="20" t="s">
        <v>10</v>
      </c>
      <c r="I22" s="23">
        <f>COUNTIF(I8:I19,"Objectif atteint")</f>
        <v>6</v>
      </c>
    </row>
    <row r="23" spans="1:10" x14ac:dyDescent="0.25">
      <c r="A23" s="21" t="s">
        <v>4</v>
      </c>
      <c r="B23" s="21"/>
      <c r="C23" s="22">
        <v>41002</v>
      </c>
      <c r="H23" s="21" t="s">
        <v>11</v>
      </c>
      <c r="I23" s="24">
        <f>COUNTIF(I8:I19,"Objectif non atteint")</f>
        <v>6</v>
      </c>
    </row>
    <row r="25" spans="1:10" ht="18.75" customHeight="1" x14ac:dyDescent="0.25">
      <c r="A25" s="20" t="s">
        <v>29</v>
      </c>
      <c r="B25" s="33">
        <f>AVERAGE(F8:F19)</f>
        <v>92432.5</v>
      </c>
      <c r="D25" s="6"/>
    </row>
    <row r="26" spans="1:10" ht="18.75" customHeight="1" x14ac:dyDescent="0.25">
      <c r="A26" s="21" t="s">
        <v>30</v>
      </c>
      <c r="B26" s="33">
        <f>MAX(F8:F19)</f>
        <v>136000</v>
      </c>
    </row>
    <row r="27" spans="1:10" ht="18.75" customHeight="1" x14ac:dyDescent="0.25">
      <c r="A27" s="20" t="s">
        <v>31</v>
      </c>
      <c r="B27" s="33">
        <f>MIN(F8,F10:F19)</f>
        <v>43000</v>
      </c>
    </row>
    <row r="29" spans="1:10" ht="19.5" customHeight="1" x14ac:dyDescent="0.25">
      <c r="A29" s="20" t="s">
        <v>34</v>
      </c>
      <c r="B29" s="20"/>
      <c r="C29" s="33">
        <f>COUNTIFS(B8:B19,"NANTES",F8:F19,"&gt;=100000")</f>
        <v>3</v>
      </c>
    </row>
    <row r="30" spans="1:10" ht="22.5" customHeight="1" x14ac:dyDescent="0.25">
      <c r="A30" s="20" t="s">
        <v>33</v>
      </c>
      <c r="B30" s="20"/>
      <c r="C30" s="33">
        <f>AVERAGEIFS(F8:F19,B8:B19,"ANGERS",F8:F19,"&lt;&gt;0")</f>
        <v>85797.5</v>
      </c>
    </row>
    <row r="31" spans="1:10" x14ac:dyDescent="0.25">
      <c r="A31" s="20" t="s">
        <v>32</v>
      </c>
      <c r="B31" s="20"/>
      <c r="C31" s="20"/>
      <c r="D31" s="20"/>
      <c r="E31" s="33">
        <f>SUMIFS(F8:F19,B8:B19,"NANTES",I8:I19,"Objectif atteint",J8:J19,"&gt;1300")</f>
        <v>373000</v>
      </c>
    </row>
  </sheetData>
  <mergeCells count="1">
    <mergeCell ref="A1:J1"/>
  </mergeCells>
  <printOptions horizontalCentered="1"/>
  <pageMargins left="0.78740157480314965" right="0.78740157480314965" top="0.98425196850393704" bottom="0.98425196850393704" header="0.51181102362204722" footer="0.51181102362204722"/>
  <pageSetup paperSize="9" scale="75" orientation="landscape" horizontalDpi="360" verticalDpi="360" r:id="rId1"/>
  <headerFooter alignWithMargins="0"/>
  <cellWatches>
    <cellWatch r="B25"/>
    <cellWatch r="B26"/>
    <cellWatch r="B27"/>
    <cellWatch r="C29"/>
    <cellWatch r="C30"/>
    <cellWatch r="E31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Editions ENI</dc:creator>
  <cp:lastModifiedBy>Pierre Lucat</cp:lastModifiedBy>
  <cp:lastPrinted>2012-05-02T11:22:17Z</cp:lastPrinted>
  <dcterms:created xsi:type="dcterms:W3CDTF">1999-11-23T07:58:13Z</dcterms:created>
  <dcterms:modified xsi:type="dcterms:W3CDTF">2012-05-11T05:03:48Z</dcterms:modified>
</cp:coreProperties>
</file>
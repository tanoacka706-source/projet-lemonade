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85" windowWidth="14895" windowHeight="7875"/>
  </bookViews>
  <sheets>
    <sheet name="Facture" sheetId="5" r:id="rId1"/>
    <sheet name="Références" sheetId="1" r:id="rId2"/>
  </sheets>
  <definedNames>
    <definedName name="base">Références!$A$1:$D$24</definedName>
  </definedNames>
  <calcPr calcId="145621" iterate="1" iterateCount="80"/>
</workbook>
</file>

<file path=xl/calcChain.xml><?xml version="1.0" encoding="utf-8"?>
<calcChain xmlns="http://schemas.openxmlformats.org/spreadsheetml/2006/main">
  <c r="D19" i="5" l="1"/>
  <c r="D20" i="5"/>
  <c r="D21" i="5"/>
  <c r="D22" i="5"/>
  <c r="E22" i="5" s="1"/>
  <c r="D18" i="5"/>
  <c r="E18" i="5" s="1"/>
  <c r="E24" i="5"/>
  <c r="D24" i="5"/>
  <c r="C24" i="5"/>
  <c r="E23" i="5"/>
  <c r="D23" i="5"/>
  <c r="E21" i="5"/>
  <c r="E20" i="5"/>
  <c r="E19" i="5"/>
  <c r="E25" i="5" l="1"/>
</calcChain>
</file>

<file path=xl/sharedStrings.xml><?xml version="1.0" encoding="utf-8"?>
<sst xmlns="http://schemas.openxmlformats.org/spreadsheetml/2006/main" count="59" uniqueCount="59">
  <si>
    <t>Réf</t>
  </si>
  <si>
    <t>Prix</t>
  </si>
  <si>
    <t>Artichaut norvégien</t>
  </si>
  <si>
    <t>Assiette fraîcheur</t>
  </si>
  <si>
    <t>Description</t>
  </si>
  <si>
    <t>artichaut, œuf, saumon fumé, sauce</t>
  </si>
  <si>
    <t>écrevisses, saumon fumé, noix de la mer</t>
  </si>
  <si>
    <t>Carpaccio de saumon</t>
  </si>
  <si>
    <t>huile d'olive, aneth, jus de citron</t>
  </si>
  <si>
    <t>Assiette Périgourdine</t>
  </si>
  <si>
    <t>filet de canard, bloc de foie gras</t>
  </si>
  <si>
    <t>Cornet de jambon</t>
  </si>
  <si>
    <t>garni pointes d'asperges</t>
  </si>
  <si>
    <t>Farandole d'entrées</t>
  </si>
  <si>
    <t>Quatre cassolettes</t>
  </si>
  <si>
    <t>Melon coktail</t>
  </si>
  <si>
    <t>melon en noisettes, pommes</t>
  </si>
  <si>
    <t>Pressé de légumes</t>
  </si>
  <si>
    <t>sauce basilic et chèvre</t>
  </si>
  <si>
    <t>Crudités variées</t>
  </si>
  <si>
    <t>Tartare de saumon</t>
  </si>
  <si>
    <t>selon saison</t>
  </si>
  <si>
    <t>fromage blanc et coulis de tomate</t>
  </si>
  <si>
    <t>Blanquette de lotte</t>
  </si>
  <si>
    <t>aux petits légumes</t>
  </si>
  <si>
    <t>Dorade royale</t>
  </si>
  <si>
    <t>façon Nantua</t>
  </si>
  <si>
    <t>Filet de sandre</t>
  </si>
  <si>
    <t>avec julienne de légumes</t>
  </si>
  <si>
    <t>Blanc de volaille</t>
  </si>
  <si>
    <t>aux asperges</t>
  </si>
  <si>
    <t>Caille farcie</t>
  </si>
  <si>
    <t>au bloc de foie gras</t>
  </si>
  <si>
    <t>Filet d'autruche</t>
  </si>
  <si>
    <t>sauce chevreuil</t>
  </si>
  <si>
    <t>Brochette de fruits</t>
  </si>
  <si>
    <t>avec coulis de framboise</t>
  </si>
  <si>
    <t>avec coulis chocolat</t>
  </si>
  <si>
    <t>Carré Noir</t>
  </si>
  <si>
    <t>Farandole de desserts</t>
  </si>
  <si>
    <t>3 cassolettes + 3 réductions</t>
  </si>
  <si>
    <t>Mignardise</t>
  </si>
  <si>
    <t>Salade de fruits frais</t>
  </si>
  <si>
    <t>Tiramisu</t>
  </si>
  <si>
    <t>crème caramel</t>
  </si>
  <si>
    <t>Crumble</t>
  </si>
  <si>
    <t>fromage blanc et coulis de fruits</t>
  </si>
  <si>
    <t xml:space="preserve">N° facture : </t>
  </si>
  <si>
    <t xml:space="preserve">Table n° </t>
  </si>
  <si>
    <t>Nb couvert</t>
  </si>
  <si>
    <t>Code</t>
  </si>
  <si>
    <t>Qté</t>
  </si>
  <si>
    <t>Menu dégustation</t>
  </si>
  <si>
    <t>Prix Unitaire</t>
  </si>
  <si>
    <t>Montant</t>
  </si>
  <si>
    <t>Net à payer</t>
  </si>
  <si>
    <t>fruits de saison</t>
  </si>
  <si>
    <t>environ 5 variétés</t>
  </si>
  <si>
    <t>Désignation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</si>
</sst>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[$€-40C]_-;\-* #,##0.00\ [$€-40C]_-;_-* &quot;-&quot;??\ [$€-40C]_-;_-@_-"/>
    <numFmt numFmtId="165" formatCode="_-* #,##0.00\ [$€-1]_-;\-* #,##0.00\ [$€-1]_-;_-* &quot;-&quot;??\ [$€-1]_-"/>
  </numFmts>
  <fonts count="9">
    <font>
      <sz val="10"/>
      <color theme="1"/>
      <name val="Arial"/>
      <family val="2"/>
    </font>
    <font>
      <sz val="12"/>
      <color theme="1"/>
      <name val="BalloonDExtBol"/>
      <family val="5"/>
    </font>
    <font>
      <sz val="10"/>
      <color theme="1"/>
      <name val="Comic Sans MS"/>
      <family val="4"/>
    </font>
    <font>
      <sz val="8"/>
      <color theme="1"/>
      <name val="Comic Sans MS"/>
      <family val="4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omic Sans MS"/>
      <family val="4"/>
    </font>
    <font>
      <sz val="12"/>
      <name val="Comic Sans MS"/>
      <family val="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8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/>
    <xf numFmtId="0" fontId="7" fillId="0" borderId="0" xfId="0" applyFont="1" applyAlignment="1">
      <alignment horizontal="center"/>
    </xf>
    <xf numFmtId="0" fontId="7" fillId="0" borderId="0" xfId="0" applyFont="1"/>
    <xf numFmtId="165" fontId="7" fillId="0" borderId="0" xfId="1" applyNumberFormat="1" applyFont="1"/>
    <xf numFmtId="0" fontId="7" fillId="0" borderId="1" xfId="0" applyFont="1" applyBorder="1" applyAlignment="1">
      <alignment horizontal="right"/>
    </xf>
    <xf numFmtId="165" fontId="6" fillId="0" borderId="1" xfId="1" applyNumberFormat="1" applyFont="1" applyBorder="1"/>
  </cellXfs>
  <cellStyles count="2">
    <cellStyle name="Euro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5</xdr:col>
          <xdr:colOff>0</xdr:colOff>
          <xdr:row>10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3:E25"/>
  <sheetViews>
    <sheetView tabSelected="1" workbookViewId="0">
      <selection activeCell="B13" sqref="B13"/>
    </sheetView>
  </sheetViews>
  <sheetFormatPr baseColWidth="10" defaultRowHeight="12.75"/>
  <cols>
    <col min="3" max="3" width="24.42578125" bestFit="1" customWidth="1"/>
    <col min="4" max="4" width="15.42578125" bestFit="1" customWidth="1"/>
    <col min="5" max="5" width="13.28515625" bestFit="1" customWidth="1"/>
  </cols>
  <sheetData>
    <row r="13" spans="1:5">
      <c r="A13" s="6" t="s">
        <v>47</v>
      </c>
      <c r="B13" s="7">
        <v>218</v>
      </c>
    </row>
    <row r="14" spans="1:5">
      <c r="A14" s="6" t="s">
        <v>48</v>
      </c>
      <c r="B14" s="7">
        <v>8</v>
      </c>
    </row>
    <row r="15" spans="1:5" ht="13.5" thickBot="1">
      <c r="A15" s="8" t="s">
        <v>49</v>
      </c>
      <c r="B15" s="9">
        <v>2</v>
      </c>
    </row>
    <row r="16" spans="1:5" ht="17.25">
      <c r="A16" s="10"/>
      <c r="B16" s="10"/>
      <c r="C16" s="10"/>
      <c r="D16" s="10"/>
      <c r="E16" s="10"/>
    </row>
    <row r="17" spans="1:5" ht="20.25" thickBot="1">
      <c r="A17" s="11" t="s">
        <v>50</v>
      </c>
      <c r="B17" s="11" t="s">
        <v>51</v>
      </c>
      <c r="C17" s="12" t="s">
        <v>52</v>
      </c>
      <c r="D17" s="11" t="s">
        <v>53</v>
      </c>
      <c r="E17" s="11" t="s">
        <v>54</v>
      </c>
    </row>
    <row r="18" spans="1:5" ht="20.25" thickTop="1">
      <c r="A18" s="13">
        <v>102</v>
      </c>
      <c r="B18" s="13">
        <v>2</v>
      </c>
      <c r="C18" s="14"/>
      <c r="D18" s="15">
        <f>VLOOKUP(A18,base,4)</f>
        <v>10.5</v>
      </c>
      <c r="E18" s="15">
        <f>IF(A18&lt;&gt;"",B18*D18,"")</f>
        <v>21</v>
      </c>
    </row>
    <row r="19" spans="1:5" ht="19.5">
      <c r="A19" s="13"/>
      <c r="B19" s="13">
        <v>1</v>
      </c>
      <c r="C19" s="14"/>
      <c r="D19" s="15" t="e">
        <f>VLOOKUP(A19,base,4)</f>
        <v>#N/A</v>
      </c>
      <c r="E19" s="15" t="str">
        <f t="shared" ref="E19:E24" si="0">IF(A19&lt;&gt;"",B19*D19,"")</f>
        <v/>
      </c>
    </row>
    <row r="20" spans="1:5" ht="19.5">
      <c r="A20" s="13">
        <v>203</v>
      </c>
      <c r="B20" s="13">
        <v>1</v>
      </c>
      <c r="C20" s="14"/>
      <c r="D20" s="15">
        <f>VLOOKUP(A20,base,4)</f>
        <v>17.5</v>
      </c>
      <c r="E20" s="15">
        <f t="shared" si="0"/>
        <v>17.5</v>
      </c>
    </row>
    <row r="21" spans="1:5" ht="19.5">
      <c r="A21" s="13">
        <v>306</v>
      </c>
      <c r="B21" s="13">
        <v>1</v>
      </c>
      <c r="C21" s="14"/>
      <c r="D21" s="15">
        <f>VLOOKUP(A21,base,4)</f>
        <v>5.5</v>
      </c>
      <c r="E21" s="15">
        <f t="shared" si="0"/>
        <v>5.5</v>
      </c>
    </row>
    <row r="22" spans="1:5" ht="19.5">
      <c r="A22" s="13">
        <v>307</v>
      </c>
      <c r="B22" s="13">
        <v>1</v>
      </c>
      <c r="C22" s="14"/>
      <c r="D22" s="15">
        <f>VLOOKUP(A22,base,4)</f>
        <v>6.8</v>
      </c>
      <c r="E22" s="15">
        <f t="shared" si="0"/>
        <v>6.8</v>
      </c>
    </row>
    <row r="23" spans="1:5" ht="19.5">
      <c r="C23" s="14"/>
      <c r="D23" s="15" t="str">
        <f t="shared" ref="D23:D24" si="1">IF(A23&lt;&gt;"",LOOKUP(A23,Réf,Prix),"")</f>
        <v/>
      </c>
      <c r="E23" s="15" t="str">
        <f t="shared" si="0"/>
        <v/>
      </c>
    </row>
    <row r="24" spans="1:5" ht="19.5">
      <c r="C24" s="14" t="str">
        <f t="shared" ref="C24" si="2">IF(A24&lt;&gt;"",LOOKUP(A24,Réf,articles),"")</f>
        <v/>
      </c>
      <c r="D24" s="15" t="str">
        <f t="shared" si="1"/>
        <v/>
      </c>
      <c r="E24" s="15" t="str">
        <f t="shared" si="0"/>
        <v/>
      </c>
    </row>
    <row r="25" spans="1:5" ht="19.5">
      <c r="D25" s="16" t="s">
        <v>55</v>
      </c>
      <c r="E25" s="17">
        <f>SUM(E18:E22)</f>
        <v>50.8</v>
      </c>
    </row>
  </sheetData>
  <pageMargins left="0.7" right="0.7" top="0.75" bottom="0.75" header="0.3" footer="0.3"/>
  <ignoredErrors>
    <ignoredError sqref="D23:E23 C24:E24" emptyCellReference="1"/>
  </ignoredErrors>
  <drawing r:id="rId1"/>
  <legacyDrawing r:id="rId2"/>
  <oleObjects>
    <mc:AlternateContent xmlns:mc="http://schemas.openxmlformats.org/markup-compatibility/2006">
      <mc:Choice Requires="x14">
        <oleObject progId="Image bitmap" shapeId="1025" r:id="rId3">
          <objectPr defaultSize="0" autoPict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5</xdr:col>
                <xdr:colOff>0</xdr:colOff>
                <xdr:row>10</xdr:row>
                <xdr:rowOff>76200</xdr:rowOff>
              </to>
            </anchor>
          </objectPr>
        </oleObject>
      </mc:Choice>
      <mc:Fallback>
        <oleObject progId="Image bitmap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4"/>
    </sheetView>
  </sheetViews>
  <sheetFormatPr baseColWidth="10" defaultRowHeight="12.75"/>
  <cols>
    <col min="1" max="1" width="12.85546875" customWidth="1"/>
    <col min="2" max="2" width="23.85546875" customWidth="1"/>
    <col min="3" max="3" width="31.85546875" customWidth="1"/>
  </cols>
  <sheetData>
    <row r="1" spans="1:4" ht="15">
      <c r="A1" s="3" t="s">
        <v>0</v>
      </c>
      <c r="B1" s="3" t="s">
        <v>58</v>
      </c>
      <c r="C1" s="3" t="s">
        <v>4</v>
      </c>
      <c r="D1" s="3" t="s">
        <v>1</v>
      </c>
    </row>
    <row r="2" spans="1:4" ht="15">
      <c r="A2" s="4">
        <v>101</v>
      </c>
      <c r="B2" s="4" t="s">
        <v>2</v>
      </c>
      <c r="C2" s="5" t="s">
        <v>5</v>
      </c>
      <c r="D2" s="2">
        <v>8.4499999999999993</v>
      </c>
    </row>
    <row r="3" spans="1:4" ht="15">
      <c r="A3" s="4">
        <v>102</v>
      </c>
      <c r="B3" s="4" t="s">
        <v>3</v>
      </c>
      <c r="C3" s="5" t="s">
        <v>6</v>
      </c>
      <c r="D3" s="2">
        <v>10.5</v>
      </c>
    </row>
    <row r="4" spans="1:4" ht="15">
      <c r="A4" s="4">
        <v>103</v>
      </c>
      <c r="B4" s="4" t="s">
        <v>7</v>
      </c>
      <c r="C4" s="5" t="s">
        <v>8</v>
      </c>
      <c r="D4" s="2">
        <v>9.9</v>
      </c>
    </row>
    <row r="5" spans="1:4" ht="15">
      <c r="A5" s="4">
        <v>104</v>
      </c>
      <c r="B5" s="4" t="s">
        <v>9</v>
      </c>
      <c r="C5" s="5" t="s">
        <v>10</v>
      </c>
      <c r="D5" s="2">
        <v>15.6</v>
      </c>
    </row>
    <row r="6" spans="1:4" ht="15">
      <c r="A6" s="4">
        <v>105</v>
      </c>
      <c r="B6" s="4" t="s">
        <v>11</v>
      </c>
      <c r="C6" s="5" t="s">
        <v>12</v>
      </c>
      <c r="D6" s="2">
        <v>7.05</v>
      </c>
    </row>
    <row r="7" spans="1:4" ht="15">
      <c r="A7" s="4">
        <v>106</v>
      </c>
      <c r="B7" s="4" t="s">
        <v>13</v>
      </c>
      <c r="C7" s="5" t="s">
        <v>14</v>
      </c>
      <c r="D7" s="2">
        <v>12.5</v>
      </c>
    </row>
    <row r="8" spans="1:4" ht="15">
      <c r="A8" s="4">
        <v>107</v>
      </c>
      <c r="B8" s="4" t="s">
        <v>15</v>
      </c>
      <c r="C8" s="5" t="s">
        <v>16</v>
      </c>
      <c r="D8" s="2">
        <v>6.65</v>
      </c>
    </row>
    <row r="9" spans="1:4" ht="15">
      <c r="A9" s="4">
        <v>108</v>
      </c>
      <c r="B9" s="4" t="s">
        <v>17</v>
      </c>
      <c r="C9" s="5" t="s">
        <v>18</v>
      </c>
      <c r="D9" s="2">
        <v>6.8</v>
      </c>
    </row>
    <row r="10" spans="1:4" ht="15">
      <c r="A10" s="4">
        <v>109</v>
      </c>
      <c r="B10" s="4" t="s">
        <v>19</v>
      </c>
      <c r="C10" s="5" t="s">
        <v>21</v>
      </c>
      <c r="D10" s="2">
        <v>9.8000000000000007</v>
      </c>
    </row>
    <row r="11" spans="1:4" ht="15">
      <c r="A11" s="4">
        <v>110</v>
      </c>
      <c r="B11" s="4" t="s">
        <v>20</v>
      </c>
      <c r="C11" s="5" t="s">
        <v>22</v>
      </c>
      <c r="D11" s="2">
        <v>11.8</v>
      </c>
    </row>
    <row r="12" spans="1:4" ht="15">
      <c r="A12" s="4">
        <v>201</v>
      </c>
      <c r="B12" s="4" t="s">
        <v>23</v>
      </c>
      <c r="C12" s="5" t="s">
        <v>24</v>
      </c>
      <c r="D12" s="2">
        <v>18.899999999999999</v>
      </c>
    </row>
    <row r="13" spans="1:4" ht="15">
      <c r="A13" s="4">
        <v>202</v>
      </c>
      <c r="B13" s="4" t="s">
        <v>25</v>
      </c>
      <c r="C13" s="5" t="s">
        <v>26</v>
      </c>
      <c r="D13" s="2">
        <v>20.8</v>
      </c>
    </row>
    <row r="14" spans="1:4" ht="15">
      <c r="A14" s="4">
        <v>203</v>
      </c>
      <c r="B14" s="4" t="s">
        <v>27</v>
      </c>
      <c r="C14" s="5" t="s">
        <v>28</v>
      </c>
      <c r="D14" s="2">
        <v>17.5</v>
      </c>
    </row>
    <row r="15" spans="1:4" ht="15">
      <c r="A15" s="4">
        <v>204</v>
      </c>
      <c r="B15" s="4" t="s">
        <v>29</v>
      </c>
      <c r="C15" s="5" t="s">
        <v>30</v>
      </c>
      <c r="D15" s="2">
        <v>15.6</v>
      </c>
    </row>
    <row r="16" spans="1:4" ht="15">
      <c r="A16" s="4">
        <v>205</v>
      </c>
      <c r="B16" s="4" t="s">
        <v>31</v>
      </c>
      <c r="C16" s="5" t="s">
        <v>32</v>
      </c>
      <c r="D16" s="2">
        <v>18.600000000000001</v>
      </c>
    </row>
    <row r="17" spans="1:4" ht="15">
      <c r="A17" s="4">
        <v>206</v>
      </c>
      <c r="B17" s="4" t="s">
        <v>33</v>
      </c>
      <c r="C17" s="5" t="s">
        <v>34</v>
      </c>
      <c r="D17" s="2">
        <v>11</v>
      </c>
    </row>
    <row r="18" spans="1:4" ht="15">
      <c r="A18" s="4">
        <v>301</v>
      </c>
      <c r="B18" s="4" t="s">
        <v>35</v>
      </c>
      <c r="C18" s="5" t="s">
        <v>36</v>
      </c>
      <c r="D18" s="2">
        <v>8.4499999999999993</v>
      </c>
    </row>
    <row r="19" spans="1:4" ht="15">
      <c r="A19" s="4">
        <v>302</v>
      </c>
      <c r="B19" s="4" t="s">
        <v>38</v>
      </c>
      <c r="C19" s="5" t="s">
        <v>37</v>
      </c>
      <c r="D19" s="2">
        <v>7.1</v>
      </c>
    </row>
    <row r="20" spans="1:4" ht="15">
      <c r="A20" s="4">
        <v>303</v>
      </c>
      <c r="B20" s="4" t="s">
        <v>39</v>
      </c>
      <c r="C20" s="5" t="s">
        <v>40</v>
      </c>
      <c r="D20" s="2">
        <v>6.7</v>
      </c>
    </row>
    <row r="21" spans="1:4" ht="15">
      <c r="A21" s="4">
        <v>304</v>
      </c>
      <c r="B21" s="4" t="s">
        <v>41</v>
      </c>
      <c r="C21" s="5" t="s">
        <v>57</v>
      </c>
      <c r="D21" s="2">
        <v>8.1999999999999993</v>
      </c>
    </row>
    <row r="22" spans="1:4" ht="15">
      <c r="A22" s="4">
        <v>305</v>
      </c>
      <c r="B22" s="4" t="s">
        <v>42</v>
      </c>
      <c r="C22" s="5" t="s">
        <v>56</v>
      </c>
      <c r="D22" s="2">
        <v>5.6</v>
      </c>
    </row>
    <row r="23" spans="1:4" ht="15">
      <c r="A23" s="4">
        <v>306</v>
      </c>
      <c r="B23" s="4" t="s">
        <v>43</v>
      </c>
      <c r="C23" s="5" t="s">
        <v>44</v>
      </c>
      <c r="D23" s="2">
        <v>5.5</v>
      </c>
    </row>
    <row r="24" spans="1:4" ht="15">
      <c r="A24" s="4">
        <v>307</v>
      </c>
      <c r="B24" s="4" t="s">
        <v>45</v>
      </c>
      <c r="C24" s="5" t="s">
        <v>46</v>
      </c>
      <c r="D24" s="2">
        <v>6.8</v>
      </c>
    </row>
    <row r="25" spans="1:4">
      <c r="D25" s="1"/>
    </row>
    <row r="26" spans="1:4">
      <c r="D26" s="1"/>
    </row>
    <row r="27" spans="1:4">
      <c r="D2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Facture</vt:lpstr>
      <vt:lpstr>Références</vt:lpstr>
      <vt:lpstr>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Guérois</dc:creator>
  <cp:lastModifiedBy>Pierre Lucat</cp:lastModifiedBy>
  <dcterms:created xsi:type="dcterms:W3CDTF">2007-07-10T06:46:45Z</dcterms:created>
  <dcterms:modified xsi:type="dcterms:W3CDTF">2012-05-03T14:21:08Z</dcterms:modified>
</cp:coreProperties>
</file>
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ormation Mos Excel expert 2019\Fichiers pour TDS\"/>
    </mc:Choice>
  </mc:AlternateContent>
  <xr:revisionPtr revIDLastSave="0" documentId="13_ncr:1_{CD40BE96-51C2-4D5E-B166-4C50D7F1C317}" xr6:coauthVersionLast="47" xr6:coauthVersionMax="47" xr10:uidLastSave="{00000000-0000-0000-0000-000000000000}"/>
  <bookViews>
    <workbookView xWindow="-108" yWindow="-108" windowWidth="23256" windowHeight="12816" firstSheet="3" activeTab="7" xr2:uid="{00000000-000D-0000-FFFF-FFFF00000000}"/>
  </bookViews>
  <sheets>
    <sheet name="Janvier" sheetId="3" r:id="rId1"/>
    <sheet name="Février" sheetId="1" r:id="rId2"/>
    <sheet name="Mars" sheetId="5" r:id="rId3"/>
    <sheet name="Trim1" sheetId="6" r:id="rId4"/>
    <sheet name="Année 2007" sheetId="7" r:id="rId5"/>
    <sheet name="Année 2008" sheetId="8" r:id="rId6"/>
    <sheet name="Année 2009" sheetId="9" r:id="rId7"/>
    <sheet name="Responsable" sheetId="10" r:id="rId8"/>
    <sheet name="Test" sheetId="11" r:id="rId9"/>
    <sheet name="Test1" sheetId="13" r:id="rId10"/>
    <sheet name="Test2" sheetId="14" r:id="rId11"/>
    <sheet name="3 années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0" l="1"/>
  <c r="F25" i="10"/>
  <c r="E25" i="10"/>
  <c r="D25" i="10"/>
  <c r="C25" i="10"/>
  <c r="B25" i="10"/>
  <c r="E20" i="14"/>
  <c r="E19" i="14"/>
  <c r="E18" i="14"/>
  <c r="E17" i="14"/>
  <c r="E16" i="14"/>
  <c r="E7" i="14"/>
  <c r="E8" i="14"/>
  <c r="E9" i="14"/>
  <c r="E10" i="14"/>
  <c r="E6" i="14"/>
  <c r="F8" i="10"/>
  <c r="F7" i="10"/>
  <c r="F6" i="10"/>
  <c r="F5" i="10"/>
  <c r="F4" i="10"/>
  <c r="F3" i="10"/>
  <c r="D9" i="9"/>
  <c r="C9" i="9"/>
  <c r="B9" i="9"/>
  <c r="D9" i="8"/>
  <c r="C9" i="8"/>
  <c r="B9" i="8"/>
  <c r="D9" i="7"/>
  <c r="C9" i="7"/>
  <c r="B9" i="7"/>
  <c r="D19" i="6" l="1"/>
  <c r="D18" i="6"/>
  <c r="D17" i="6"/>
  <c r="D16" i="6"/>
  <c r="D15" i="6"/>
  <c r="D14" i="6"/>
  <c r="D13" i="6"/>
  <c r="D12" i="6"/>
  <c r="D11" i="6"/>
  <c r="D10" i="6"/>
  <c r="D9" i="6"/>
  <c r="D8" i="6"/>
  <c r="C19" i="6"/>
  <c r="C18" i="6"/>
  <c r="C17" i="6"/>
  <c r="C16" i="6"/>
  <c r="C15" i="6"/>
  <c r="C14" i="6"/>
  <c r="C13" i="6"/>
  <c r="C12" i="6"/>
  <c r="C11" i="6"/>
  <c r="C10" i="6"/>
  <c r="C9" i="6"/>
  <c r="C8" i="6"/>
  <c r="E20" i="6"/>
  <c r="D20" i="6"/>
  <c r="F20" i="6"/>
  <c r="E20" i="5"/>
  <c r="D20" i="5"/>
  <c r="C20" i="5"/>
  <c r="F19" i="5"/>
  <c r="F18" i="5"/>
  <c r="F17" i="5"/>
  <c r="F16" i="5"/>
  <c r="F15" i="5"/>
  <c r="F14" i="5"/>
  <c r="F13" i="5"/>
  <c r="F12" i="5"/>
  <c r="F11" i="5"/>
  <c r="F10" i="5"/>
  <c r="F9" i="5"/>
  <c r="F8" i="5"/>
  <c r="E20" i="3"/>
  <c r="D20" i="3"/>
  <c r="C20" i="3"/>
  <c r="F19" i="3"/>
  <c r="F18" i="3"/>
  <c r="F17" i="3"/>
  <c r="F16" i="3"/>
  <c r="F15" i="3"/>
  <c r="F14" i="3"/>
  <c r="F13" i="3"/>
  <c r="F12" i="3"/>
  <c r="F11" i="3"/>
  <c r="F10" i="3"/>
  <c r="F9" i="3"/>
  <c r="F8" i="3"/>
  <c r="F20" i="3" l="1"/>
  <c r="H20" i="3" s="1"/>
  <c r="J20" i="3"/>
  <c r="I9" i="5"/>
  <c r="I11" i="5"/>
  <c r="I13" i="5"/>
  <c r="I15" i="5"/>
  <c r="I17" i="5"/>
  <c r="I19" i="5"/>
  <c r="I8" i="5"/>
  <c r="I10" i="5"/>
  <c r="I12" i="5"/>
  <c r="I14" i="5"/>
  <c r="I16" i="5"/>
  <c r="I18" i="5"/>
  <c r="C20" i="6"/>
  <c r="F20" i="5"/>
  <c r="H20" i="5" s="1"/>
  <c r="G20" i="5"/>
  <c r="G8" i="5"/>
  <c r="H8" i="5"/>
  <c r="G9" i="5"/>
  <c r="H9" i="5"/>
  <c r="G10" i="5"/>
  <c r="H10" i="5"/>
  <c r="G11" i="5"/>
  <c r="H11" i="5"/>
  <c r="G12" i="5"/>
  <c r="H12" i="5"/>
  <c r="G13" i="5"/>
  <c r="H13" i="5"/>
  <c r="G14" i="5"/>
  <c r="H14" i="5"/>
  <c r="G15" i="5"/>
  <c r="H15" i="5"/>
  <c r="G16" i="5"/>
  <c r="H16" i="5"/>
  <c r="G17" i="5"/>
  <c r="H17" i="5"/>
  <c r="G18" i="5"/>
  <c r="H18" i="5"/>
  <c r="G19" i="5"/>
  <c r="H19" i="5"/>
  <c r="G20" i="3"/>
  <c r="G8" i="3"/>
  <c r="H8" i="3"/>
  <c r="G9" i="3"/>
  <c r="H9" i="3"/>
  <c r="G10" i="3"/>
  <c r="H10" i="3"/>
  <c r="G11" i="3"/>
  <c r="H11" i="3"/>
  <c r="G12" i="3"/>
  <c r="H12" i="3"/>
  <c r="G13" i="3"/>
  <c r="H13" i="3"/>
  <c r="G14" i="3"/>
  <c r="H14" i="3"/>
  <c r="G15" i="3"/>
  <c r="H15" i="3"/>
  <c r="G16" i="3"/>
  <c r="H16" i="3"/>
  <c r="G17" i="3"/>
  <c r="H17" i="3"/>
  <c r="G18" i="3"/>
  <c r="H18" i="3"/>
  <c r="G19" i="3"/>
  <c r="H19" i="3"/>
  <c r="J20" i="5" l="1"/>
  <c r="D20" i="1"/>
  <c r="E20" i="1"/>
  <c r="C20" i="1"/>
  <c r="F8" i="1"/>
  <c r="F9" i="1"/>
  <c r="F10" i="1"/>
  <c r="F11" i="1"/>
  <c r="F12" i="1"/>
  <c r="F13" i="1"/>
  <c r="F14" i="1"/>
  <c r="F15" i="1"/>
  <c r="F16" i="1"/>
  <c r="F17" i="1"/>
  <c r="F18" i="1"/>
  <c r="F19" i="1"/>
  <c r="G9" i="1" l="1"/>
  <c r="G8" i="1"/>
  <c r="G10" i="1"/>
  <c r="G11" i="1"/>
  <c r="G12" i="1"/>
  <c r="G13" i="1"/>
  <c r="G14" i="1"/>
  <c r="G15" i="1"/>
  <c r="G16" i="1"/>
  <c r="G17" i="1"/>
  <c r="G18" i="1"/>
  <c r="G19" i="1"/>
  <c r="F20" i="1"/>
  <c r="H20" i="1" s="1"/>
  <c r="H18" i="1" l="1"/>
  <c r="H10" i="1"/>
  <c r="H9" i="1"/>
  <c r="H14" i="1"/>
  <c r="H17" i="1"/>
  <c r="H15" i="1"/>
  <c r="H16" i="1"/>
  <c r="H12" i="1"/>
  <c r="H8" i="1"/>
  <c r="H13" i="1"/>
  <c r="H11" i="1"/>
  <c r="H19" i="1"/>
  <c r="G20" i="1"/>
</calcChain>
</file>

<file path=xl/sharedStrings.xml><?xml version="1.0" encoding="utf-8"?>
<sst xmlns="http://schemas.openxmlformats.org/spreadsheetml/2006/main" count="301" uniqueCount="134">
  <si>
    <t xml:space="preserve"> </t>
  </si>
  <si>
    <t>Vidéo</t>
  </si>
  <si>
    <t>Micro</t>
  </si>
  <si>
    <t>TOTAL</t>
  </si>
  <si>
    <t>Tableau réalisé le :</t>
  </si>
  <si>
    <t>Hi-fi</t>
  </si>
  <si>
    <t>Commission</t>
  </si>
  <si>
    <t>Objectif</t>
  </si>
  <si>
    <t>Répartition
du CA</t>
  </si>
  <si>
    <t>Moyenne du CA</t>
  </si>
  <si>
    <t>Objectif atteint :</t>
  </si>
  <si>
    <t>Objectif non atteint :</t>
  </si>
  <si>
    <t>Ville</t>
  </si>
  <si>
    <t>Beaudu Sophie</t>
  </si>
  <si>
    <t>Dupré Dominique</t>
  </si>
  <si>
    <t>Guy Corinne</t>
  </si>
  <si>
    <t>Martinet Antoine</t>
  </si>
  <si>
    <t>Huchet Nicolas</t>
  </si>
  <si>
    <t>Blouin Nathalie</t>
  </si>
  <si>
    <t>Toussin Paul</t>
  </si>
  <si>
    <t>Le Parc Jean</t>
  </si>
  <si>
    <t>Pilat Lionel</t>
  </si>
  <si>
    <t>CHIFFRE D'AFFAIRES RÉALISÉ RÉGION OUEST</t>
  </si>
  <si>
    <t>Pierre Lucat</t>
  </si>
  <si>
    <t>Christine Mandart</t>
  </si>
  <si>
    <t>Lucie Gendron</t>
  </si>
  <si>
    <t>NANTES</t>
  </si>
  <si>
    <t>ANGERS</t>
  </si>
  <si>
    <t>RENNES</t>
  </si>
  <si>
    <t>JANVIER 2012</t>
  </si>
  <si>
    <t>CHIFFRE D'AFFAIRES  RÉGION OUEST</t>
  </si>
  <si>
    <t>FÉVRIER 2012</t>
  </si>
  <si>
    <t>TRIMESTRE 1</t>
  </si>
  <si>
    <t>Moyenne des CA</t>
  </si>
  <si>
    <t>Somme CA  Nantes + objetctif atteint + commistion &gt; à 1300</t>
  </si>
  <si>
    <t>CA moyen des vendeurs d'Angers</t>
  </si>
  <si>
    <t>Nbre vendeurs Nantes CA &gt;= 100000</t>
  </si>
  <si>
    <t>Nombre de vendeurs</t>
  </si>
  <si>
    <t>MARS 2012</t>
  </si>
  <si>
    <t>VILLES</t>
  </si>
  <si>
    <t>JANVIER</t>
  </si>
  <si>
    <t>FÉVRIER</t>
  </si>
  <si>
    <t>MARS</t>
  </si>
  <si>
    <t>LE MANS</t>
  </si>
  <si>
    <t>PARIS</t>
  </si>
  <si>
    <t>BORDEAUX</t>
  </si>
  <si>
    <t>LILLE</t>
  </si>
  <si>
    <t>ROUEN</t>
  </si>
  <si>
    <t>TOULOUSE</t>
  </si>
  <si>
    <t>LYON</t>
  </si>
  <si>
    <t>Region</t>
  </si>
  <si>
    <t>Responsable</t>
  </si>
  <si>
    <t>Numéro
employé</t>
  </si>
  <si>
    <t xml:space="preserve">Ventes annuelles
total  infusions
(boîtes)
</t>
  </si>
  <si>
    <t xml:space="preserve">Ventes annuelles
total  aromes
(boîtes)
</t>
  </si>
  <si>
    <t>Total des boîtes
vendues</t>
  </si>
  <si>
    <t>R1</t>
  </si>
  <si>
    <t>KOFFI  YAO</t>
  </si>
  <si>
    <t>R2</t>
  </si>
  <si>
    <t>YAPO SOPIE</t>
  </si>
  <si>
    <t>R3</t>
  </si>
  <si>
    <t>BOKA SERGES</t>
  </si>
  <si>
    <t>R5</t>
  </si>
  <si>
    <t>AHOU JEANNE</t>
  </si>
  <si>
    <t>R4</t>
  </si>
  <si>
    <t>MONTON ERIC</t>
  </si>
  <si>
    <t>R6</t>
  </si>
  <si>
    <t>TRA LOU ANGE</t>
  </si>
  <si>
    <t>Liste des candidats</t>
  </si>
  <si>
    <t>Nom</t>
  </si>
  <si>
    <t>Prénoms</t>
  </si>
  <si>
    <t>Numéro d'orde</t>
  </si>
  <si>
    <t>Matricule</t>
  </si>
  <si>
    <t xml:space="preserve">KONE </t>
  </si>
  <si>
    <t>FRANCK ALAIN</t>
  </si>
  <si>
    <t>YAPI</t>
  </si>
  <si>
    <t>SOPIE EMMAR</t>
  </si>
  <si>
    <t>KONAN SERGES</t>
  </si>
  <si>
    <t>YAO</t>
  </si>
  <si>
    <t>GUEDE</t>
  </si>
  <si>
    <t>ALBAN</t>
  </si>
  <si>
    <t>GUEU</t>
  </si>
  <si>
    <t>MARCEL</t>
  </si>
  <si>
    <t>YACCE</t>
  </si>
  <si>
    <t>ARNAUD</t>
  </si>
  <si>
    <t>SILUE</t>
  </si>
  <si>
    <t>KOLO</t>
  </si>
  <si>
    <t>Nom et prénoms</t>
  </si>
  <si>
    <t>Référence</t>
  </si>
  <si>
    <t>Article</t>
  </si>
  <si>
    <t>Numéro</t>
  </si>
  <si>
    <t>Q7T-8206-US</t>
  </si>
  <si>
    <t>B2Q-0912-FR</t>
  </si>
  <si>
    <t>W9L-7123-US</t>
  </si>
  <si>
    <t>X3P-1922-CH</t>
  </si>
  <si>
    <t>Y6R-1360-BE</t>
  </si>
  <si>
    <t>Article 1</t>
  </si>
  <si>
    <t>Article 2</t>
  </si>
  <si>
    <t>Article 3</t>
  </si>
  <si>
    <t>Article 4</t>
  </si>
  <si>
    <t>Article 5</t>
  </si>
  <si>
    <t>DELIBERATION D'EXAMEN</t>
  </si>
  <si>
    <t>PRENOM</t>
  </si>
  <si>
    <t>NOTE1</t>
  </si>
  <si>
    <t>NOTE2</t>
  </si>
  <si>
    <t>NOTE3</t>
  </si>
  <si>
    <t>MOYENNE</t>
  </si>
  <si>
    <t>ETAT</t>
  </si>
  <si>
    <t>JEAN</t>
  </si>
  <si>
    <t>PAUL</t>
  </si>
  <si>
    <t>PIERRE</t>
  </si>
  <si>
    <t>ALICE</t>
  </si>
  <si>
    <t>EMMAR</t>
  </si>
  <si>
    <t>tableau 1</t>
  </si>
  <si>
    <t>tableau 2</t>
  </si>
  <si>
    <t>CA maximum pour NANTES</t>
  </si>
  <si>
    <t>CA minimum pour RENNES</t>
  </si>
  <si>
    <t>B2-0912-FR</t>
  </si>
  <si>
    <t>W9-7123-US</t>
  </si>
  <si>
    <t>Y6-1360-BE</t>
  </si>
  <si>
    <t>ID</t>
  </si>
  <si>
    <t>PAYS</t>
  </si>
  <si>
    <t>Article 6</t>
  </si>
  <si>
    <t>Article 7</t>
  </si>
  <si>
    <t>Article 8</t>
  </si>
  <si>
    <t>Article 9</t>
  </si>
  <si>
    <t>Article 10</t>
  </si>
  <si>
    <t>NUMERO : les 4 chiffres du milieu</t>
  </si>
  <si>
    <r>
      <rPr>
        <b/>
        <sz val="14"/>
        <rFont val="Arial"/>
        <family val="2"/>
      </rPr>
      <t>ID</t>
    </r>
    <r>
      <rPr>
        <sz val="14"/>
        <rFont val="Arial"/>
        <family val="2"/>
      </rPr>
      <t xml:space="preserve"> réprésente mles caractères à gauche du - dans la référence</t>
    </r>
  </si>
  <si>
    <r>
      <rPr>
        <b/>
        <sz val="14"/>
        <rFont val="Arial"/>
        <family val="2"/>
      </rPr>
      <t xml:space="preserve">PAYS : </t>
    </r>
    <r>
      <rPr>
        <sz val="14"/>
        <rFont val="Arial"/>
        <family val="2"/>
      </rPr>
      <t>les 2 caractères à droite dans la référence</t>
    </r>
  </si>
  <si>
    <t>Remplir la colonne ETAT du tableau1, si la moyenne est superieure ou égale à 11,5 et une note supérieure à 16 alors afficher VRAI sinon FAUX</t>
  </si>
  <si>
    <t>Remplir la colonne ETAT du tableau1, si la moyenne est superieure ou égale à 11,5 et une note supérieure à 16 alors afficher ADMIS sinon AJOURNE</t>
  </si>
  <si>
    <t>Numéro employé R5</t>
  </si>
  <si>
    <t>Numéro emlpoyé 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</si>
</sst>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&quot;F&quot;_-;\-* #,##0.00\ &quot;F&quot;_-;_-* &quot;-&quot;??\ &quot;F&quot;_-;_-@_-"/>
    <numFmt numFmtId="165" formatCode="_-* #,##0.00\ _F_-;\-* #,##0.00\ _F_-;_-* &quot;-&quot;??\ _F_-;_-@_-"/>
    <numFmt numFmtId="166" formatCode="#,##0.00\ _€"/>
    <numFmt numFmtId="167" formatCode="_-* #,##0\ _F_-;\-* #,##0\ _F_-;_-* &quot;-&quot;??\ _F_-;_-@_-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3"/>
      <color theme="1"/>
      <name val="Berlin Sans FB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name val="Arial"/>
      <family val="2"/>
    </font>
    <font>
      <sz val="18"/>
      <name val="Arial"/>
      <family val="2"/>
    </font>
    <font>
      <sz val="24"/>
      <color rgb="FFFF0000"/>
      <name val="Arial"/>
      <family val="2"/>
    </font>
    <font>
      <sz val="16"/>
      <color rgb="FFFF000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6"/>
      <color theme="4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Arial"/>
      <family val="2"/>
    </font>
    <font>
      <sz val="10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</fills>
  <borders count="21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4506668294322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4506668294322"/>
      </left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</borders>
  <cellStyleXfs count="13">
    <xf numFmtId="0" fontId="0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3" fillId="0" borderId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</cellStyleXfs>
  <cellXfs count="79">
    <xf numFmtId="0" fontId="0" fillId="0" borderId="0" xfId="0"/>
    <xf numFmtId="0" fontId="8" fillId="0" borderId="0" xfId="0" applyFont="1"/>
    <xf numFmtId="0" fontId="9" fillId="0" borderId="0" xfId="0" applyFont="1"/>
    <xf numFmtId="0" fontId="8" fillId="0" borderId="0" xfId="2" applyNumberFormat="1" applyFont="1" applyFill="1" applyBorder="1"/>
    <xf numFmtId="0" fontId="8" fillId="0" borderId="0" xfId="3" applyNumberFormat="1" applyFont="1" applyFill="1" applyBorder="1"/>
    <xf numFmtId="14" fontId="8" fillId="0" borderId="0" xfId="0" applyNumberFormat="1" applyFont="1"/>
    <xf numFmtId="0" fontId="8" fillId="0" borderId="0" xfId="0" applyFont="1" applyAlignment="1">
      <alignment horizontal="center"/>
    </xf>
    <xf numFmtId="9" fontId="7" fillId="4" borderId="2" xfId="3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9" fontId="7" fillId="5" borderId="2" xfId="3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4" borderId="2" xfId="3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37" fontId="7" fillId="4" borderId="2" xfId="1" applyNumberFormat="1" applyFont="1" applyFill="1" applyBorder="1" applyAlignment="1">
      <alignment vertical="center"/>
    </xf>
    <xf numFmtId="37" fontId="7" fillId="5" borderId="2" xfId="1" applyNumberFormat="1" applyFont="1" applyFill="1" applyBorder="1" applyAlignment="1">
      <alignment vertical="center"/>
    </xf>
    <xf numFmtId="166" fontId="7" fillId="4" borderId="2" xfId="1" applyNumberFormat="1" applyFont="1" applyFill="1" applyBorder="1" applyAlignment="1">
      <alignment vertical="center"/>
    </xf>
    <xf numFmtId="166" fontId="7" fillId="5" borderId="2" xfId="1" applyNumberFormat="1" applyFont="1" applyFill="1" applyBorder="1" applyAlignment="1">
      <alignment vertical="center"/>
    </xf>
    <xf numFmtId="166" fontId="7" fillId="4" borderId="2" xfId="2" applyNumberFormat="1" applyFont="1" applyFill="1" applyBorder="1" applyAlignment="1">
      <alignment vertical="center"/>
    </xf>
    <xf numFmtId="37" fontId="7" fillId="4" borderId="2" xfId="0" applyNumberFormat="1" applyFont="1" applyFill="1" applyBorder="1" applyAlignment="1">
      <alignment vertical="center"/>
    </xf>
    <xf numFmtId="0" fontId="6" fillId="2" borderId="0" xfId="4" applyNumberFormat="1" applyBorder="1" applyAlignment="1">
      <alignment vertical="center"/>
    </xf>
    <xf numFmtId="0" fontId="6" fillId="2" borderId="0" xfId="4" applyAlignment="1">
      <alignment vertical="center"/>
    </xf>
    <xf numFmtId="14" fontId="6" fillId="2" borderId="0" xfId="4" applyNumberFormat="1" applyAlignment="1">
      <alignment vertical="center"/>
    </xf>
    <xf numFmtId="0" fontId="5" fillId="3" borderId="0" xfId="5" applyNumberFormat="1" applyFont="1" applyBorder="1" applyAlignment="1">
      <alignment horizontal="center" vertical="center"/>
    </xf>
    <xf numFmtId="0" fontId="5" fillId="3" borderId="0" xfId="5" applyFont="1" applyAlignment="1">
      <alignment horizontal="center" vertical="center"/>
    </xf>
    <xf numFmtId="0" fontId="13" fillId="4" borderId="2" xfId="0" applyFont="1" applyFill="1" applyBorder="1" applyAlignment="1">
      <alignment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vertical="center"/>
    </xf>
    <xf numFmtId="0" fontId="12" fillId="5" borderId="4" xfId="0" applyFont="1" applyFill="1" applyBorder="1" applyAlignment="1">
      <alignment vertical="center"/>
    </xf>
    <xf numFmtId="0" fontId="13" fillId="4" borderId="4" xfId="0" applyFont="1" applyFill="1" applyBorder="1" applyAlignment="1">
      <alignment vertical="center" wrapText="1"/>
    </xf>
    <xf numFmtId="37" fontId="14" fillId="4" borderId="5" xfId="1" applyNumberFormat="1" applyFont="1" applyFill="1" applyBorder="1" applyAlignment="1">
      <alignment horizontal="center" vertical="center"/>
    </xf>
    <xf numFmtId="37" fontId="14" fillId="4" borderId="5" xfId="1" quotePrefix="1" applyNumberFormat="1" applyFont="1" applyFill="1" applyBorder="1" applyAlignment="1">
      <alignment horizontal="center" vertical="center"/>
    </xf>
    <xf numFmtId="167" fontId="5" fillId="3" borderId="0" xfId="1" applyNumberFormat="1" applyFont="1" applyFill="1" applyBorder="1" applyAlignment="1">
      <alignment horizontal="left" vertical="center"/>
    </xf>
    <xf numFmtId="0" fontId="3" fillId="0" borderId="0" xfId="6"/>
    <xf numFmtId="0" fontId="4" fillId="0" borderId="0" xfId="7"/>
    <xf numFmtId="0" fontId="5" fillId="0" borderId="0" xfId="6" applyFont="1"/>
    <xf numFmtId="0" fontId="3" fillId="0" borderId="6" xfId="6" applyBorder="1"/>
    <xf numFmtId="0" fontId="4" fillId="0" borderId="0" xfId="0" applyFont="1"/>
    <xf numFmtId="0" fontId="15" fillId="0" borderId="0" xfId="0" applyFont="1"/>
    <xf numFmtId="0" fontId="0" fillId="0" borderId="8" xfId="0" applyBorder="1"/>
    <xf numFmtId="0" fontId="4" fillId="0" borderId="8" xfId="0" applyFont="1" applyBorder="1"/>
    <xf numFmtId="0" fontId="0" fillId="0" borderId="8" xfId="0" applyBorder="1" applyAlignment="1">
      <alignment horizontal="center"/>
    </xf>
    <xf numFmtId="0" fontId="16" fillId="6" borderId="8" xfId="0" applyFont="1" applyFill="1" applyBorder="1" applyAlignment="1">
      <alignment horizontal="center"/>
    </xf>
    <xf numFmtId="0" fontId="20" fillId="8" borderId="7" xfId="0" applyFont="1" applyFill="1" applyBorder="1" applyAlignment="1">
      <alignment horizontal="center"/>
    </xf>
    <xf numFmtId="0" fontId="19" fillId="7" borderId="0" xfId="0" applyFont="1" applyFill="1" applyAlignment="1">
      <alignment horizontal="center"/>
    </xf>
    <xf numFmtId="0" fontId="19" fillId="7" borderId="13" xfId="0" applyFont="1" applyFill="1" applyBorder="1" applyAlignment="1">
      <alignment horizontal="center"/>
    </xf>
    <xf numFmtId="0" fontId="20" fillId="8" borderId="14" xfId="0" applyFont="1" applyFill="1" applyBorder="1"/>
    <xf numFmtId="0" fontId="20" fillId="8" borderId="15" xfId="0" applyFont="1" applyFill="1" applyBorder="1" applyAlignment="1">
      <alignment horizontal="center"/>
    </xf>
    <xf numFmtId="2" fontId="20" fillId="8" borderId="15" xfId="0" applyNumberFormat="1" applyFont="1" applyFill="1" applyBorder="1" applyAlignment="1">
      <alignment horizontal="center"/>
    </xf>
    <xf numFmtId="0" fontId="20" fillId="9" borderId="16" xfId="0" applyFont="1" applyFill="1" applyBorder="1"/>
    <xf numFmtId="0" fontId="20" fillId="9" borderId="7" xfId="0" applyFont="1" applyFill="1" applyBorder="1" applyAlignment="1">
      <alignment horizontal="center"/>
    </xf>
    <xf numFmtId="2" fontId="20" fillId="9" borderId="7" xfId="0" applyNumberFormat="1" applyFont="1" applyFill="1" applyBorder="1" applyAlignment="1">
      <alignment horizontal="center"/>
    </xf>
    <xf numFmtId="0" fontId="20" fillId="8" borderId="16" xfId="0" applyFont="1" applyFill="1" applyBorder="1"/>
    <xf numFmtId="2" fontId="20" fillId="8" borderId="7" xfId="0" applyNumberFormat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22" fillId="0" borderId="8" xfId="6" applyFont="1" applyBorder="1"/>
    <xf numFmtId="0" fontId="22" fillId="11" borderId="8" xfId="6" applyFont="1" applyFill="1" applyBorder="1" applyAlignment="1">
      <alignment horizontal="center"/>
    </xf>
    <xf numFmtId="0" fontId="23" fillId="0" borderId="8" xfId="6" applyFont="1" applyBorder="1" applyAlignment="1">
      <alignment horizontal="center"/>
    </xf>
    <xf numFmtId="0" fontId="23" fillId="11" borderId="8" xfId="6" applyFont="1" applyFill="1" applyBorder="1" applyAlignment="1">
      <alignment horizontal="center"/>
    </xf>
    <xf numFmtId="0" fontId="23" fillId="0" borderId="8" xfId="6" applyFont="1" applyBorder="1"/>
    <xf numFmtId="0" fontId="25" fillId="0" borderId="0" xfId="0" applyFont="1"/>
    <xf numFmtId="0" fontId="10" fillId="2" borderId="0" xfId="4" applyFont="1" applyAlignment="1">
      <alignment horizontal="center" vertical="center"/>
    </xf>
    <xf numFmtId="0" fontId="17" fillId="0" borderId="12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21" fillId="0" borderId="9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3" fillId="10" borderId="17" xfId="6" applyNumberFormat="1" applyFont="1" applyFill="1" applyBorder="1" applyAlignment="1">
      <alignment horizontal="center"/>
    </xf>
    <xf numFmtId="0" fontId="13" fillId="10" borderId="17" xfId="6" applyNumberFormat="1" applyFont="1" applyFill="1" applyBorder="1" applyAlignment="1">
      <alignment horizontal="center" wrapText="1"/>
    </xf>
    <xf numFmtId="0" fontId="13" fillId="10" borderId="18" xfId="6" applyNumberFormat="1" applyFont="1" applyFill="1" applyBorder="1" applyAlignment="1">
      <alignment horizontal="center" wrapText="1"/>
    </xf>
    <xf numFmtId="0" fontId="1" fillId="12" borderId="19" xfId="6" applyNumberFormat="1" applyFont="1" applyFill="1" applyBorder="1" applyAlignment="1"/>
    <xf numFmtId="0" fontId="1" fillId="12" borderId="20" xfId="6" applyNumberFormat="1" applyFont="1" applyFill="1" applyBorder="1" applyAlignment="1"/>
    <xf numFmtId="0" fontId="1" fillId="13" borderId="16" xfId="6" applyNumberFormat="1" applyFont="1" applyFill="1" applyBorder="1" applyAlignment="1"/>
    <xf numFmtId="0" fontId="1" fillId="13" borderId="7" xfId="6" applyNumberFormat="1" applyFont="1" applyFill="1" applyBorder="1" applyAlignment="1"/>
    <xf numFmtId="0" fontId="1" fillId="12" borderId="16" xfId="6" applyNumberFormat="1" applyFont="1" applyFill="1" applyBorder="1" applyAlignment="1"/>
    <xf numFmtId="0" fontId="1" fillId="12" borderId="7" xfId="6" applyNumberFormat="1" applyFont="1" applyFill="1" applyBorder="1" applyAlignment="1"/>
  </cellXfs>
  <cellStyles count="13">
    <cellStyle name="40 % - Accent6" xfId="5" builtinId="51"/>
    <cellStyle name="Accent6" xfId="4" builtinId="49"/>
    <cellStyle name="Milliers" xfId="1" builtinId="3"/>
    <cellStyle name="Milliers 2" xfId="8" xr:uid="{00000000-0005-0000-0000-000003000000}"/>
    <cellStyle name="Milliers 3" xfId="9" xr:uid="{00000000-0005-0000-0000-000004000000}"/>
    <cellStyle name="Monétaire" xfId="2" builtinId="4"/>
    <cellStyle name="Monétaire 2" xfId="10" xr:uid="{00000000-0005-0000-0000-000006000000}"/>
    <cellStyle name="Normal" xfId="0" builtinId="0"/>
    <cellStyle name="Normal 2" xfId="6" xr:uid="{00000000-0005-0000-0000-000008000000}"/>
    <cellStyle name="Normal 2 2" xfId="7" xr:uid="{00000000-0005-0000-0000-000009000000}"/>
    <cellStyle name="Normal 3" xfId="12" xr:uid="{00000000-0005-0000-0000-00000A000000}"/>
    <cellStyle name="Pourcentage" xfId="3" builtinId="5"/>
    <cellStyle name="Pourcentage 2" xfId="11" xr:uid="{00000000-0005-0000-0000-00000C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CE14D9-3280-4EF7-B035-DCEEECECD4D8}" name="Tableau4" displayName="Tableau4" ref="A5:E15" totalsRowShown="0">
  <autoFilter ref="A5:E15" xr:uid="{13CE14D9-3280-4EF7-B035-DCEEECECD4D8}"/>
  <tableColumns count="5">
    <tableColumn id="1" xr3:uid="{4C23E645-F44F-4694-A7F0-2624500F8139}" name="Référence"/>
    <tableColumn id="2" xr3:uid="{89991C9F-246D-454E-973F-A3F0D198B56C}" name="Article"/>
    <tableColumn id="3" xr3:uid="{3EF5146A-C959-4CA2-8294-4E5E50DE7132}" name="ID"/>
    <tableColumn id="4" xr3:uid="{7238B0C5-A4AE-49C1-B1F5-FFD3D428841C}" name="PAYS"/>
    <tableColumn id="5" xr3:uid="{45D2AE57-FA18-486F-BF81-1F78CBBAED5B}" name="Numéro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0"/>
  <sheetViews>
    <sheetView topLeftCell="A5" workbookViewId="0">
      <selection activeCell="I8" sqref="I8:J19"/>
    </sheetView>
  </sheetViews>
  <sheetFormatPr baseColWidth="10" defaultColWidth="11.44140625" defaultRowHeight="14.4" x14ac:dyDescent="0.3"/>
  <cols>
    <col min="1" max="2" width="18.33203125" style="1" customWidth="1"/>
    <col min="3" max="5" width="12.6640625" style="1" customWidth="1"/>
    <col min="6" max="6" width="14.88671875" style="1" customWidth="1"/>
    <col min="7" max="7" width="19.5546875" style="1" customWidth="1"/>
    <col min="8" max="8" width="19.33203125" style="1" customWidth="1"/>
    <col min="9" max="9" width="23.6640625" style="1" customWidth="1"/>
    <col min="10" max="10" width="16.44140625" style="1" bestFit="1" customWidth="1"/>
    <col min="11" max="16384" width="11.44140625" style="1"/>
  </cols>
  <sheetData>
    <row r="1" spans="1:10" ht="30.75" customHeight="1" x14ac:dyDescent="0.3">
      <c r="A1" s="63" t="s">
        <v>30</v>
      </c>
      <c r="B1" s="63"/>
      <c r="C1" s="63"/>
      <c r="D1" s="63"/>
      <c r="E1" s="63"/>
      <c r="F1" s="63"/>
      <c r="G1" s="63"/>
      <c r="H1" s="63"/>
      <c r="I1" s="63"/>
      <c r="J1" s="63"/>
    </row>
    <row r="4" spans="1:10" ht="21" x14ac:dyDescent="0.3">
      <c r="A4" s="33" t="s">
        <v>29</v>
      </c>
    </row>
    <row r="6" spans="1:10" x14ac:dyDescent="0.3">
      <c r="D6" s="1" t="s">
        <v>0</v>
      </c>
    </row>
    <row r="7" spans="1:10" ht="37.5" customHeight="1" x14ac:dyDescent="0.3">
      <c r="A7" s="28"/>
      <c r="B7" s="12" t="s">
        <v>12</v>
      </c>
      <c r="C7" s="12" t="s">
        <v>5</v>
      </c>
      <c r="D7" s="12" t="s">
        <v>1</v>
      </c>
      <c r="E7" s="12" t="s">
        <v>2</v>
      </c>
      <c r="F7" s="12" t="s">
        <v>3</v>
      </c>
      <c r="G7" s="13" t="s">
        <v>9</v>
      </c>
      <c r="H7" s="13" t="s">
        <v>8</v>
      </c>
      <c r="I7" s="13" t="s">
        <v>7</v>
      </c>
      <c r="J7" s="12" t="s">
        <v>6</v>
      </c>
    </row>
    <row r="8" spans="1:10" ht="21.75" customHeight="1" x14ac:dyDescent="0.3">
      <c r="A8" s="29" t="s">
        <v>13</v>
      </c>
      <c r="B8" s="26" t="s">
        <v>26</v>
      </c>
      <c r="C8" s="14">
        <v>7500</v>
      </c>
      <c r="D8" s="14">
        <v>18400</v>
      </c>
      <c r="E8" s="14">
        <v>41260</v>
      </c>
      <c r="F8" s="14">
        <f>SUM(C8:E8)</f>
        <v>67160</v>
      </c>
      <c r="G8" s="16">
        <f>AVERAGE(C8:F8)</f>
        <v>33580</v>
      </c>
      <c r="H8" s="7">
        <f>F8/$F$20</f>
        <v>7.523345222518954E-2</v>
      </c>
      <c r="I8" s="8"/>
      <c r="J8" s="14"/>
    </row>
    <row r="9" spans="1:10" ht="21.75" customHeight="1" x14ac:dyDescent="0.3">
      <c r="A9" s="30" t="s">
        <v>14</v>
      </c>
      <c r="B9" s="27" t="s">
        <v>27</v>
      </c>
      <c r="C9" s="15">
        <v>8000</v>
      </c>
      <c r="D9" s="15">
        <v>10300</v>
      </c>
      <c r="E9" s="15">
        <v>12890</v>
      </c>
      <c r="F9" s="15">
        <f t="shared" ref="F9:F19" si="0">SUM(C9:E9)</f>
        <v>31190</v>
      </c>
      <c r="G9" s="17">
        <f t="shared" ref="G9:G20" si="1">AVERAGE(C9:F9)</f>
        <v>15595</v>
      </c>
      <c r="H9" s="9">
        <f t="shared" ref="H9:H20" si="2">F9/$F$20</f>
        <v>3.4939418923520871E-2</v>
      </c>
      <c r="I9" s="10"/>
      <c r="J9" s="15"/>
    </row>
    <row r="10" spans="1:10" ht="21.75" customHeight="1" x14ac:dyDescent="0.3">
      <c r="A10" s="29" t="s">
        <v>15</v>
      </c>
      <c r="B10" s="26" t="s">
        <v>28</v>
      </c>
      <c r="C10" s="14">
        <v>12000</v>
      </c>
      <c r="D10" s="14">
        <v>9800</v>
      </c>
      <c r="E10" s="14">
        <v>46890</v>
      </c>
      <c r="F10" s="14">
        <f t="shared" si="0"/>
        <v>68690</v>
      </c>
      <c r="G10" s="16">
        <f t="shared" si="1"/>
        <v>34345</v>
      </c>
      <c r="H10" s="7">
        <f t="shared" si="2"/>
        <v>7.6947376911082041E-2</v>
      </c>
      <c r="I10" s="8"/>
      <c r="J10" s="14"/>
    </row>
    <row r="11" spans="1:10" ht="21.75" customHeight="1" x14ac:dyDescent="0.3">
      <c r="A11" s="30" t="s">
        <v>16</v>
      </c>
      <c r="B11" s="27" t="s">
        <v>26</v>
      </c>
      <c r="C11" s="15">
        <v>12000</v>
      </c>
      <c r="D11" s="15">
        <v>45000</v>
      </c>
      <c r="E11" s="15">
        <v>56230</v>
      </c>
      <c r="F11" s="15">
        <f t="shared" si="0"/>
        <v>113230</v>
      </c>
      <c r="G11" s="17">
        <f t="shared" si="1"/>
        <v>56615</v>
      </c>
      <c r="H11" s="9">
        <f t="shared" si="2"/>
        <v>0.12684162887817468</v>
      </c>
      <c r="I11" s="10"/>
      <c r="J11" s="15"/>
    </row>
    <row r="12" spans="1:10" ht="21.75" customHeight="1" x14ac:dyDescent="0.3">
      <c r="A12" s="29" t="s">
        <v>17</v>
      </c>
      <c r="B12" s="26" t="s">
        <v>26</v>
      </c>
      <c r="C12" s="14">
        <v>11250</v>
      </c>
      <c r="D12" s="14">
        <v>25680</v>
      </c>
      <c r="E12" s="14">
        <v>38790</v>
      </c>
      <c r="F12" s="14">
        <f t="shared" si="0"/>
        <v>75720</v>
      </c>
      <c r="G12" s="16">
        <f t="shared" si="1"/>
        <v>37860</v>
      </c>
      <c r="H12" s="7">
        <f t="shared" si="2"/>
        <v>8.4822468768483497E-2</v>
      </c>
      <c r="I12" s="8"/>
      <c r="J12" s="14"/>
    </row>
    <row r="13" spans="1:10" ht="21.75" customHeight="1" x14ac:dyDescent="0.3">
      <c r="A13" s="30" t="s">
        <v>18</v>
      </c>
      <c r="B13" s="27" t="s">
        <v>27</v>
      </c>
      <c r="C13" s="15">
        <v>13587</v>
      </c>
      <c r="D13" s="15">
        <v>8700</v>
      </c>
      <c r="E13" s="15">
        <v>62130</v>
      </c>
      <c r="F13" s="15">
        <f t="shared" si="0"/>
        <v>84417</v>
      </c>
      <c r="G13" s="17">
        <f t="shared" si="1"/>
        <v>42208.5</v>
      </c>
      <c r="H13" s="9">
        <f t="shared" si="2"/>
        <v>9.4564954384958683E-2</v>
      </c>
      <c r="I13" s="10"/>
      <c r="J13" s="15"/>
    </row>
    <row r="14" spans="1:10" ht="21.75" customHeight="1" x14ac:dyDescent="0.3">
      <c r="A14" s="29" t="s">
        <v>19</v>
      </c>
      <c r="B14" s="26" t="s">
        <v>27</v>
      </c>
      <c r="C14" s="14">
        <v>11</v>
      </c>
      <c r="D14" s="14">
        <v>35680</v>
      </c>
      <c r="E14" s="14">
        <v>48700</v>
      </c>
      <c r="F14" s="14">
        <f t="shared" si="0"/>
        <v>84391</v>
      </c>
      <c r="G14" s="16">
        <f t="shared" si="1"/>
        <v>42195.5</v>
      </c>
      <c r="H14" s="7">
        <f t="shared" si="2"/>
        <v>9.4535828867420638E-2</v>
      </c>
      <c r="I14" s="8"/>
      <c r="J14" s="14"/>
    </row>
    <row r="15" spans="1:10" ht="21.75" customHeight="1" x14ac:dyDescent="0.3">
      <c r="A15" s="30" t="s">
        <v>20</v>
      </c>
      <c r="B15" s="27" t="s">
        <v>26</v>
      </c>
      <c r="C15" s="15">
        <v>8360</v>
      </c>
      <c r="D15" s="15">
        <v>12850</v>
      </c>
      <c r="E15" s="15">
        <v>14960</v>
      </c>
      <c r="F15" s="15">
        <f t="shared" si="0"/>
        <v>36170</v>
      </c>
      <c r="G15" s="17">
        <f t="shared" si="1"/>
        <v>18085</v>
      </c>
      <c r="H15" s="9">
        <f t="shared" si="2"/>
        <v>4.0518075744268994E-2</v>
      </c>
      <c r="I15" s="10"/>
      <c r="J15" s="15"/>
    </row>
    <row r="16" spans="1:10" ht="21.75" customHeight="1" x14ac:dyDescent="0.3">
      <c r="A16" s="29" t="s">
        <v>21</v>
      </c>
      <c r="B16" s="26" t="s">
        <v>28</v>
      </c>
      <c r="C16" s="14">
        <v>13540</v>
      </c>
      <c r="D16" s="14">
        <v>17590</v>
      </c>
      <c r="E16" s="14">
        <v>35900</v>
      </c>
      <c r="F16" s="14">
        <f t="shared" si="0"/>
        <v>67030</v>
      </c>
      <c r="G16" s="16">
        <f t="shared" si="1"/>
        <v>33515</v>
      </c>
      <c r="H16" s="7">
        <f t="shared" si="2"/>
        <v>7.5087824637499329E-2</v>
      </c>
      <c r="I16" s="8"/>
      <c r="J16" s="14"/>
    </row>
    <row r="17" spans="1:10" ht="21.75" customHeight="1" x14ac:dyDescent="0.3">
      <c r="A17" s="30" t="s">
        <v>23</v>
      </c>
      <c r="B17" s="27" t="s">
        <v>28</v>
      </c>
      <c r="C17" s="15">
        <v>11000</v>
      </c>
      <c r="D17" s="15">
        <v>18970</v>
      </c>
      <c r="E17" s="15">
        <v>42150</v>
      </c>
      <c r="F17" s="15">
        <f t="shared" si="0"/>
        <v>72120</v>
      </c>
      <c r="G17" s="17">
        <f t="shared" si="1"/>
        <v>36060</v>
      </c>
      <c r="H17" s="9">
        <f t="shared" si="2"/>
        <v>8.0789704801677631E-2</v>
      </c>
      <c r="I17" s="10"/>
      <c r="J17" s="15"/>
    </row>
    <row r="18" spans="1:10" ht="21.75" customHeight="1" x14ac:dyDescent="0.3">
      <c r="A18" s="29" t="s">
        <v>24</v>
      </c>
      <c r="B18" s="26" t="s">
        <v>27</v>
      </c>
      <c r="C18" s="14">
        <v>15800</v>
      </c>
      <c r="D18" s="14">
        <v>38120</v>
      </c>
      <c r="E18" s="14">
        <v>39560</v>
      </c>
      <c r="F18" s="14">
        <f t="shared" si="0"/>
        <v>93480</v>
      </c>
      <c r="G18" s="16">
        <f t="shared" si="1"/>
        <v>46740</v>
      </c>
      <c r="H18" s="7">
        <f t="shared" si="2"/>
        <v>0.10471743767139247</v>
      </c>
      <c r="I18" s="8"/>
      <c r="J18" s="14"/>
    </row>
    <row r="19" spans="1:10" ht="21.75" customHeight="1" x14ac:dyDescent="0.3">
      <c r="A19" s="30" t="s">
        <v>25</v>
      </c>
      <c r="B19" s="27" t="s">
        <v>26</v>
      </c>
      <c r="C19" s="15">
        <v>12000</v>
      </c>
      <c r="D19" s="15">
        <v>24790</v>
      </c>
      <c r="E19" s="15">
        <v>62300</v>
      </c>
      <c r="F19" s="15">
        <f t="shared" si="0"/>
        <v>99090</v>
      </c>
      <c r="G19" s="17">
        <f t="shared" si="1"/>
        <v>49545</v>
      </c>
      <c r="H19" s="9">
        <f t="shared" si="2"/>
        <v>0.11100182818633161</v>
      </c>
      <c r="I19" s="10"/>
      <c r="J19" s="15"/>
    </row>
    <row r="20" spans="1:10" ht="21.75" customHeight="1" x14ac:dyDescent="0.3">
      <c r="A20" s="31" t="s">
        <v>3</v>
      </c>
      <c r="B20" s="25"/>
      <c r="C20" s="14">
        <f>SUM(C8:C19)</f>
        <v>125048</v>
      </c>
      <c r="D20" s="14">
        <f t="shared" ref="D20:F20" si="3">SUM(D8:D19)</f>
        <v>265880</v>
      </c>
      <c r="E20" s="14">
        <f t="shared" si="3"/>
        <v>501760</v>
      </c>
      <c r="F20" s="14">
        <f t="shared" si="3"/>
        <v>892688</v>
      </c>
      <c r="G20" s="18">
        <f t="shared" si="1"/>
        <v>446344</v>
      </c>
      <c r="H20" s="7">
        <f t="shared" si="2"/>
        <v>1</v>
      </c>
      <c r="I20" s="11"/>
      <c r="J20" s="19">
        <f>SUM(J8:J19)</f>
        <v>0</v>
      </c>
    </row>
    <row r="21" spans="1:10" x14ac:dyDescent="0.3">
      <c r="A21" s="2"/>
      <c r="B21" s="2"/>
      <c r="C21" s="3"/>
      <c r="D21" s="3"/>
      <c r="E21" s="3"/>
      <c r="F21" s="3"/>
      <c r="G21" s="3"/>
      <c r="H21" s="4"/>
      <c r="I21" s="4"/>
    </row>
    <row r="22" spans="1:10" x14ac:dyDescent="0.3">
      <c r="C22" s="3"/>
      <c r="D22" s="3"/>
      <c r="E22" s="3"/>
      <c r="F22" s="3"/>
      <c r="H22" s="20" t="s">
        <v>10</v>
      </c>
      <c r="I22" s="23"/>
    </row>
    <row r="23" spans="1:10" x14ac:dyDescent="0.3">
      <c r="A23" s="21" t="s">
        <v>4</v>
      </c>
      <c r="B23" s="21"/>
      <c r="C23" s="22">
        <v>40943</v>
      </c>
      <c r="H23" s="21" t="s">
        <v>11</v>
      </c>
      <c r="I23" s="24"/>
    </row>
    <row r="25" spans="1:10" x14ac:dyDescent="0.3">
      <c r="D25" s="5"/>
    </row>
    <row r="30" spans="1:10" x14ac:dyDescent="0.3">
      <c r="E30" s="6"/>
    </row>
  </sheetData>
  <mergeCells count="1">
    <mergeCell ref="A1:J1"/>
  </mergeCells>
  <printOptions horizontalCentered="1"/>
  <pageMargins left="0.78740157480314965" right="0.78740157480314965" top="0.98425196850393704" bottom="0.98425196850393704" header="0.51181102362204722" footer="0.51181102362204722"/>
  <pageSetup paperSize="9" scale="78" orientation="landscape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0"/>
  <sheetViews>
    <sheetView topLeftCell="A4" workbookViewId="0">
      <selection activeCell="J20" sqref="J20"/>
    </sheetView>
  </sheetViews>
  <sheetFormatPr baseColWidth="10" defaultColWidth="11.44140625" defaultRowHeight="14.4" x14ac:dyDescent="0.3"/>
  <cols>
    <col min="1" max="2" width="18.33203125" style="1" customWidth="1"/>
    <col min="3" max="5" width="12.6640625" style="1" customWidth="1"/>
    <col min="6" max="6" width="14.88671875" style="1" customWidth="1"/>
    <col min="7" max="7" width="19.5546875" style="1" customWidth="1"/>
    <col min="8" max="8" width="19.33203125" style="1" customWidth="1"/>
    <col min="9" max="9" width="23.6640625" style="1" customWidth="1"/>
    <col min="10" max="10" width="16.44140625" style="1" bestFit="1" customWidth="1"/>
    <col min="11" max="16384" width="11.44140625" style="1"/>
  </cols>
  <sheetData>
    <row r="1" spans="1:10" ht="30.75" customHeight="1" x14ac:dyDescent="0.3">
      <c r="A1" s="63" t="s">
        <v>22</v>
      </c>
      <c r="B1" s="63"/>
      <c r="C1" s="63"/>
      <c r="D1" s="63"/>
      <c r="E1" s="63"/>
      <c r="F1" s="63"/>
      <c r="G1" s="63"/>
      <c r="H1" s="63"/>
      <c r="I1" s="63"/>
      <c r="J1" s="63"/>
    </row>
    <row r="4" spans="1:10" ht="21" x14ac:dyDescent="0.3">
      <c r="A4" s="33" t="s">
        <v>31</v>
      </c>
    </row>
    <row r="6" spans="1:10" x14ac:dyDescent="0.3">
      <c r="D6" s="1" t="s">
        <v>0</v>
      </c>
    </row>
    <row r="7" spans="1:10" ht="37.5" customHeight="1" x14ac:dyDescent="0.3">
      <c r="A7" s="28"/>
      <c r="B7" s="12" t="s">
        <v>12</v>
      </c>
      <c r="C7" s="12" t="s">
        <v>5</v>
      </c>
      <c r="D7" s="12" t="s">
        <v>1</v>
      </c>
      <c r="E7" s="12" t="s">
        <v>2</v>
      </c>
      <c r="F7" s="12" t="s">
        <v>3</v>
      </c>
      <c r="G7" s="13" t="s">
        <v>9</v>
      </c>
      <c r="H7" s="13" t="s">
        <v>8</v>
      </c>
      <c r="I7" s="13" t="s">
        <v>7</v>
      </c>
      <c r="J7" s="12" t="s">
        <v>6</v>
      </c>
    </row>
    <row r="8" spans="1:10" ht="21.75" customHeight="1" x14ac:dyDescent="0.3">
      <c r="A8" s="29" t="s">
        <v>13</v>
      </c>
      <c r="B8" s="26" t="s">
        <v>26</v>
      </c>
      <c r="C8" s="14">
        <v>12560</v>
      </c>
      <c r="D8" s="14">
        <v>26530</v>
      </c>
      <c r="E8" s="14">
        <v>32500</v>
      </c>
      <c r="F8" s="14">
        <f>SUM(C8:E8)</f>
        <v>71590</v>
      </c>
      <c r="G8" s="16">
        <f>AVERAGE(C8:F8)</f>
        <v>35795</v>
      </c>
      <c r="H8" s="7">
        <f>F8/$F$20</f>
        <v>6.2346506888683748E-2</v>
      </c>
      <c r="I8" s="8"/>
      <c r="J8" s="14"/>
    </row>
    <row r="9" spans="1:10" ht="21.75" customHeight="1" x14ac:dyDescent="0.3">
      <c r="A9" s="30" t="s">
        <v>14</v>
      </c>
      <c r="B9" s="27" t="s">
        <v>27</v>
      </c>
      <c r="C9" s="15">
        <v>9800</v>
      </c>
      <c r="D9" s="15">
        <v>10250</v>
      </c>
      <c r="E9" s="15">
        <v>18350</v>
      </c>
      <c r="F9" s="15">
        <f t="shared" ref="F9:F19" si="0">SUM(C9:E9)</f>
        <v>38400</v>
      </c>
      <c r="G9" s="17">
        <f t="shared" ref="G9:G20" si="1">AVERAGE(C9:F9)</f>
        <v>19200</v>
      </c>
      <c r="H9" s="9">
        <f t="shared" ref="H9:H20" si="2">F9/$F$20</f>
        <v>3.344190340166861E-2</v>
      </c>
      <c r="I9" s="10"/>
      <c r="J9" s="15"/>
    </row>
    <row r="10" spans="1:10" ht="21.75" customHeight="1" x14ac:dyDescent="0.3">
      <c r="A10" s="29" t="s">
        <v>15</v>
      </c>
      <c r="B10" s="26" t="s">
        <v>28</v>
      </c>
      <c r="C10" s="14">
        <v>10000</v>
      </c>
      <c r="D10" s="14">
        <v>9000</v>
      </c>
      <c r="E10" s="14">
        <v>71200</v>
      </c>
      <c r="F10" s="14">
        <f t="shared" si="0"/>
        <v>90200</v>
      </c>
      <c r="G10" s="16">
        <f t="shared" si="1"/>
        <v>45100</v>
      </c>
      <c r="H10" s="7">
        <f t="shared" si="2"/>
        <v>7.8553637677877833E-2</v>
      </c>
      <c r="I10" s="8"/>
      <c r="J10" s="14"/>
    </row>
    <row r="11" spans="1:10" ht="21.75" customHeight="1" x14ac:dyDescent="0.3">
      <c r="A11" s="30" t="s">
        <v>16</v>
      </c>
      <c r="B11" s="27" t="s">
        <v>26</v>
      </c>
      <c r="C11" s="15">
        <v>15480</v>
      </c>
      <c r="D11" s="15">
        <v>51230</v>
      </c>
      <c r="E11" s="15">
        <v>68900</v>
      </c>
      <c r="F11" s="15">
        <f t="shared" si="0"/>
        <v>135610</v>
      </c>
      <c r="G11" s="17">
        <f t="shared" si="1"/>
        <v>67805</v>
      </c>
      <c r="H11" s="9">
        <f t="shared" si="2"/>
        <v>0.11810043021615313</v>
      </c>
      <c r="I11" s="10"/>
      <c r="J11" s="15"/>
    </row>
    <row r="12" spans="1:10" ht="21.75" customHeight="1" x14ac:dyDescent="0.3">
      <c r="A12" s="29" t="s">
        <v>17</v>
      </c>
      <c r="B12" s="26" t="s">
        <v>26</v>
      </c>
      <c r="C12" s="14">
        <v>19800</v>
      </c>
      <c r="D12" s="14">
        <v>38940</v>
      </c>
      <c r="E12" s="14">
        <v>48560</v>
      </c>
      <c r="F12" s="14">
        <f t="shared" si="0"/>
        <v>107300</v>
      </c>
      <c r="G12" s="16">
        <f t="shared" si="1"/>
        <v>53650</v>
      </c>
      <c r="H12" s="7">
        <f t="shared" si="2"/>
        <v>9.3445735286433393E-2</v>
      </c>
      <c r="I12" s="8"/>
      <c r="J12" s="14"/>
    </row>
    <row r="13" spans="1:10" ht="21.75" customHeight="1" x14ac:dyDescent="0.3">
      <c r="A13" s="30" t="s">
        <v>18</v>
      </c>
      <c r="B13" s="27" t="s">
        <v>27</v>
      </c>
      <c r="C13" s="15">
        <v>14860</v>
      </c>
      <c r="D13" s="15">
        <v>16870</v>
      </c>
      <c r="E13" s="15">
        <v>75300</v>
      </c>
      <c r="F13" s="15">
        <f t="shared" si="0"/>
        <v>107030</v>
      </c>
      <c r="G13" s="17">
        <f t="shared" si="1"/>
        <v>53515</v>
      </c>
      <c r="H13" s="9">
        <f t="shared" si="2"/>
        <v>9.3210596903140402E-2</v>
      </c>
      <c r="I13" s="10"/>
      <c r="J13" s="15"/>
    </row>
    <row r="14" spans="1:10" ht="21.75" customHeight="1" x14ac:dyDescent="0.3">
      <c r="A14" s="29" t="s">
        <v>19</v>
      </c>
      <c r="B14" s="26" t="s">
        <v>27</v>
      </c>
      <c r="C14" s="14">
        <v>10300</v>
      </c>
      <c r="D14" s="14">
        <v>51790</v>
      </c>
      <c r="E14" s="14">
        <v>52000</v>
      </c>
      <c r="F14" s="14">
        <f t="shared" si="0"/>
        <v>114090</v>
      </c>
      <c r="G14" s="16">
        <f t="shared" si="1"/>
        <v>57045</v>
      </c>
      <c r="H14" s="7">
        <f t="shared" si="2"/>
        <v>9.9359030184801356E-2</v>
      </c>
      <c r="I14" s="8"/>
      <c r="J14" s="14"/>
    </row>
    <row r="15" spans="1:10" ht="21.75" customHeight="1" x14ac:dyDescent="0.3">
      <c r="A15" s="30" t="s">
        <v>20</v>
      </c>
      <c r="B15" s="27" t="s">
        <v>26</v>
      </c>
      <c r="C15" s="15">
        <v>7500</v>
      </c>
      <c r="D15" s="15">
        <v>12650</v>
      </c>
      <c r="E15" s="15">
        <v>26870</v>
      </c>
      <c r="F15" s="15">
        <f t="shared" si="0"/>
        <v>47020</v>
      </c>
      <c r="G15" s="17">
        <f t="shared" si="1"/>
        <v>23510</v>
      </c>
      <c r="H15" s="9">
        <f t="shared" si="2"/>
        <v>4.0948914009022348E-2</v>
      </c>
      <c r="I15" s="10"/>
      <c r="J15" s="15"/>
    </row>
    <row r="16" spans="1:10" ht="21.75" customHeight="1" x14ac:dyDescent="0.3">
      <c r="A16" s="29" t="s">
        <v>21</v>
      </c>
      <c r="B16" s="26" t="s">
        <v>28</v>
      </c>
      <c r="C16" s="14">
        <v>14890</v>
      </c>
      <c r="D16" s="14">
        <v>19800</v>
      </c>
      <c r="E16" s="14">
        <v>49870</v>
      </c>
      <c r="F16" s="14">
        <f t="shared" si="0"/>
        <v>84560</v>
      </c>
      <c r="G16" s="16">
        <f t="shared" si="1"/>
        <v>42280</v>
      </c>
      <c r="H16" s="7">
        <f t="shared" si="2"/>
        <v>7.3641858115757755E-2</v>
      </c>
      <c r="I16" s="8"/>
      <c r="J16" s="14"/>
    </row>
    <row r="17" spans="1:10" ht="21.75" customHeight="1" x14ac:dyDescent="0.3">
      <c r="A17" s="30" t="s">
        <v>23</v>
      </c>
      <c r="B17" s="27" t="s">
        <v>28</v>
      </c>
      <c r="C17" s="15">
        <v>22230</v>
      </c>
      <c r="D17" s="15">
        <v>28000</v>
      </c>
      <c r="E17" s="15">
        <v>45000</v>
      </c>
      <c r="F17" s="15">
        <f t="shared" si="0"/>
        <v>95230</v>
      </c>
      <c r="G17" s="17">
        <f t="shared" si="1"/>
        <v>47615</v>
      </c>
      <c r="H17" s="9">
        <f t="shared" si="2"/>
        <v>8.2934178670335992E-2</v>
      </c>
      <c r="I17" s="10"/>
      <c r="J17" s="15"/>
    </row>
    <row r="18" spans="1:10" ht="21.75" customHeight="1" x14ac:dyDescent="0.3">
      <c r="A18" s="29" t="s">
        <v>24</v>
      </c>
      <c r="B18" s="26" t="s">
        <v>27</v>
      </c>
      <c r="C18" s="14">
        <v>26890</v>
      </c>
      <c r="D18" s="14">
        <v>36890</v>
      </c>
      <c r="E18" s="14">
        <v>77900</v>
      </c>
      <c r="F18" s="14">
        <f t="shared" si="0"/>
        <v>141680</v>
      </c>
      <c r="G18" s="16">
        <f t="shared" si="1"/>
        <v>70840</v>
      </c>
      <c r="H18" s="7">
        <f t="shared" si="2"/>
        <v>0.12338668942573981</v>
      </c>
      <c r="I18" s="8"/>
      <c r="J18" s="14"/>
    </row>
    <row r="19" spans="1:10" ht="21.75" customHeight="1" x14ac:dyDescent="0.3">
      <c r="A19" s="30" t="s">
        <v>25</v>
      </c>
      <c r="B19" s="27" t="s">
        <v>26</v>
      </c>
      <c r="C19" s="15">
        <v>15000</v>
      </c>
      <c r="D19" s="15">
        <v>20300</v>
      </c>
      <c r="E19" s="15">
        <v>80250</v>
      </c>
      <c r="F19" s="15">
        <f t="shared" si="0"/>
        <v>115550</v>
      </c>
      <c r="G19" s="17">
        <f t="shared" si="1"/>
        <v>57775</v>
      </c>
      <c r="H19" s="9">
        <f t="shared" si="2"/>
        <v>0.10063051922038563</v>
      </c>
      <c r="I19" s="10"/>
      <c r="J19" s="15"/>
    </row>
    <row r="20" spans="1:10" ht="21.75" customHeight="1" x14ac:dyDescent="0.3">
      <c r="A20" s="31" t="s">
        <v>3</v>
      </c>
      <c r="B20" s="25"/>
      <c r="C20" s="14">
        <f>SUM(C8:C19)</f>
        <v>179310</v>
      </c>
      <c r="D20" s="14">
        <f t="shared" ref="D20:F20" si="3">SUM(D8:D19)</f>
        <v>322250</v>
      </c>
      <c r="E20" s="14">
        <f t="shared" si="3"/>
        <v>646700</v>
      </c>
      <c r="F20" s="14">
        <f t="shared" si="3"/>
        <v>1148260</v>
      </c>
      <c r="G20" s="18">
        <f t="shared" si="1"/>
        <v>574130</v>
      </c>
      <c r="H20" s="7">
        <f t="shared" si="2"/>
        <v>1</v>
      </c>
      <c r="I20" s="11"/>
      <c r="J20" s="19"/>
    </row>
    <row r="21" spans="1:10" x14ac:dyDescent="0.3">
      <c r="A21" s="2"/>
      <c r="B21" s="2"/>
      <c r="C21" s="3"/>
      <c r="D21" s="3"/>
      <c r="E21" s="3"/>
      <c r="F21" s="3"/>
      <c r="G21" s="3"/>
      <c r="H21" s="4"/>
      <c r="I21" s="4"/>
    </row>
    <row r="22" spans="1:10" x14ac:dyDescent="0.3">
      <c r="C22" s="3"/>
      <c r="D22" s="3"/>
      <c r="E22" s="3"/>
      <c r="F22" s="3"/>
      <c r="H22" s="20" t="s">
        <v>10</v>
      </c>
      <c r="I22" s="23"/>
    </row>
    <row r="23" spans="1:10" x14ac:dyDescent="0.3">
      <c r="A23" s="21" t="s">
        <v>4</v>
      </c>
      <c r="B23" s="21"/>
      <c r="C23" s="22">
        <v>40971</v>
      </c>
      <c r="H23" s="21" t="s">
        <v>11</v>
      </c>
      <c r="I23" s="24"/>
    </row>
    <row r="25" spans="1:10" x14ac:dyDescent="0.3">
      <c r="D25" s="5"/>
    </row>
    <row r="30" spans="1:10" x14ac:dyDescent="0.3">
      <c r="E30" s="6"/>
    </row>
  </sheetData>
  <mergeCells count="1">
    <mergeCell ref="A1:J1"/>
  </mergeCells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78" orientation="landscape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1"/>
  <sheetViews>
    <sheetView workbookViewId="0">
      <selection activeCell="M16" sqref="M16"/>
    </sheetView>
  </sheetViews>
  <sheetFormatPr baseColWidth="10" defaultColWidth="11.44140625" defaultRowHeight="14.4" x14ac:dyDescent="0.3"/>
  <cols>
    <col min="1" max="1" width="24.5546875" style="1" customWidth="1"/>
    <col min="2" max="2" width="18.33203125" style="1" customWidth="1"/>
    <col min="3" max="5" width="12.6640625" style="1" customWidth="1"/>
    <col min="6" max="6" width="14.88671875" style="1" customWidth="1"/>
    <col min="7" max="7" width="19.5546875" style="1" customWidth="1"/>
    <col min="8" max="8" width="19.33203125" style="1" customWidth="1"/>
    <col min="9" max="9" width="23.6640625" style="1" customWidth="1"/>
    <col min="10" max="10" width="16.44140625" style="1" bestFit="1" customWidth="1"/>
    <col min="11" max="16384" width="11.44140625" style="1"/>
  </cols>
  <sheetData>
    <row r="1" spans="1:10" ht="30.75" customHeight="1" x14ac:dyDescent="0.3">
      <c r="A1" s="63" t="s">
        <v>22</v>
      </c>
      <c r="B1" s="63"/>
      <c r="C1" s="63"/>
      <c r="D1" s="63"/>
      <c r="E1" s="63"/>
      <c r="F1" s="63"/>
      <c r="G1" s="63"/>
      <c r="H1" s="63"/>
      <c r="I1" s="63"/>
      <c r="J1" s="63"/>
    </row>
    <row r="4" spans="1:10" ht="21" x14ac:dyDescent="0.3">
      <c r="A4" s="33" t="s">
        <v>38</v>
      </c>
    </row>
    <row r="6" spans="1:10" x14ac:dyDescent="0.3">
      <c r="D6" s="1" t="s">
        <v>0</v>
      </c>
    </row>
    <row r="7" spans="1:10" ht="37.5" customHeight="1" x14ac:dyDescent="0.3">
      <c r="A7" s="28"/>
      <c r="B7" s="12" t="s">
        <v>12</v>
      </c>
      <c r="C7" s="12" t="s">
        <v>5</v>
      </c>
      <c r="D7" s="12" t="s">
        <v>1</v>
      </c>
      <c r="E7" s="12" t="s">
        <v>2</v>
      </c>
      <c r="F7" s="12" t="s">
        <v>3</v>
      </c>
      <c r="G7" s="13" t="s">
        <v>9</v>
      </c>
      <c r="H7" s="13" t="s">
        <v>8</v>
      </c>
      <c r="I7" s="13" t="s">
        <v>7</v>
      </c>
      <c r="J7" s="12" t="s">
        <v>6</v>
      </c>
    </row>
    <row r="8" spans="1:10" ht="21.75" customHeight="1" x14ac:dyDescent="0.3">
      <c r="A8" s="29" t="s">
        <v>13</v>
      </c>
      <c r="B8" s="26" t="s">
        <v>26</v>
      </c>
      <c r="C8" s="14">
        <v>10000</v>
      </c>
      <c r="D8" s="14">
        <v>25000</v>
      </c>
      <c r="E8" s="14">
        <v>50000</v>
      </c>
      <c r="F8" s="14">
        <f>SUM(C8:E8)</f>
        <v>85000</v>
      </c>
      <c r="G8" s="16">
        <f>AVERAGE(C8:F8)</f>
        <v>42500</v>
      </c>
      <c r="H8" s="7">
        <f>F8/$F$20</f>
        <v>7.8849721706864564E-2</v>
      </c>
      <c r="I8" s="8" t="str">
        <f>IF(F8&gt;=100000,"Objectif atteint","Objectif non atteint")</f>
        <v>Objectif non atteint</v>
      </c>
      <c r="J8" s="14"/>
    </row>
    <row r="9" spans="1:10" ht="21.75" customHeight="1" x14ac:dyDescent="0.3">
      <c r="A9" s="30" t="s">
        <v>14</v>
      </c>
      <c r="B9" s="27" t="s">
        <v>27</v>
      </c>
      <c r="C9" s="15">
        <v>0</v>
      </c>
      <c r="D9" s="15">
        <v>0</v>
      </c>
      <c r="E9" s="15">
        <v>0</v>
      </c>
      <c r="F9" s="15">
        <f t="shared" ref="F9:F19" si="0">SUM(C9:E9)</f>
        <v>0</v>
      </c>
      <c r="G9" s="17">
        <f t="shared" ref="G9:G20" si="1">AVERAGE(C9:F9)</f>
        <v>0</v>
      </c>
      <c r="H9" s="9">
        <f t="shared" ref="H9:H20" si="2">F9/$F$20</f>
        <v>0</v>
      </c>
      <c r="I9" s="10" t="str">
        <f t="shared" ref="I9:I19" si="3">IF(F9&gt;=100000,"Objectif atteint","Objectif non atteint")</f>
        <v>Objectif non atteint</v>
      </c>
      <c r="J9" s="15"/>
    </row>
    <row r="10" spans="1:10" ht="21.75" customHeight="1" x14ac:dyDescent="0.3">
      <c r="A10" s="29" t="s">
        <v>15</v>
      </c>
      <c r="B10" s="26" t="s">
        <v>28</v>
      </c>
      <c r="C10" s="14">
        <v>10000</v>
      </c>
      <c r="D10" s="14">
        <v>10000</v>
      </c>
      <c r="E10" s="14">
        <v>65000</v>
      </c>
      <c r="F10" s="14">
        <f t="shared" si="0"/>
        <v>85000</v>
      </c>
      <c r="G10" s="16">
        <f t="shared" si="1"/>
        <v>42500</v>
      </c>
      <c r="H10" s="7">
        <f t="shared" si="2"/>
        <v>7.8849721706864564E-2</v>
      </c>
      <c r="I10" s="8" t="str">
        <f t="shared" si="3"/>
        <v>Objectif non atteint</v>
      </c>
      <c r="J10" s="14"/>
    </row>
    <row r="11" spans="1:10" ht="21.75" customHeight="1" x14ac:dyDescent="0.3">
      <c r="A11" s="30" t="s">
        <v>16</v>
      </c>
      <c r="B11" s="27" t="s">
        <v>26</v>
      </c>
      <c r="C11" s="15">
        <v>12000</v>
      </c>
      <c r="D11" s="15">
        <v>50000</v>
      </c>
      <c r="E11" s="15">
        <v>70000</v>
      </c>
      <c r="F11" s="15">
        <f t="shared" si="0"/>
        <v>132000</v>
      </c>
      <c r="G11" s="17">
        <f t="shared" si="1"/>
        <v>66000</v>
      </c>
      <c r="H11" s="9">
        <f t="shared" si="2"/>
        <v>0.12244897959183673</v>
      </c>
      <c r="I11" s="10" t="str">
        <f t="shared" si="3"/>
        <v>Objectif atteint</v>
      </c>
      <c r="J11" s="15"/>
    </row>
    <row r="12" spans="1:10" ht="21.75" customHeight="1" x14ac:dyDescent="0.3">
      <c r="A12" s="29" t="s">
        <v>17</v>
      </c>
      <c r="B12" s="26" t="s">
        <v>26</v>
      </c>
      <c r="C12" s="14">
        <v>20000</v>
      </c>
      <c r="D12" s="14">
        <v>40000</v>
      </c>
      <c r="E12" s="14">
        <v>45000</v>
      </c>
      <c r="F12" s="14">
        <f t="shared" si="0"/>
        <v>105000</v>
      </c>
      <c r="G12" s="16">
        <f t="shared" si="1"/>
        <v>52500</v>
      </c>
      <c r="H12" s="7">
        <f t="shared" si="2"/>
        <v>9.7402597402597407E-2</v>
      </c>
      <c r="I12" s="8" t="str">
        <f t="shared" si="3"/>
        <v>Objectif atteint</v>
      </c>
      <c r="J12" s="14"/>
    </row>
    <row r="13" spans="1:10" ht="21.75" customHeight="1" x14ac:dyDescent="0.3">
      <c r="A13" s="30" t="s">
        <v>18</v>
      </c>
      <c r="B13" s="27" t="s">
        <v>27</v>
      </c>
      <c r="C13" s="15">
        <v>15000</v>
      </c>
      <c r="D13" s="15">
        <v>15000</v>
      </c>
      <c r="E13" s="15">
        <v>70000</v>
      </c>
      <c r="F13" s="15">
        <f t="shared" si="0"/>
        <v>100000</v>
      </c>
      <c r="G13" s="17">
        <f t="shared" si="1"/>
        <v>50000</v>
      </c>
      <c r="H13" s="9">
        <f t="shared" si="2"/>
        <v>9.2764378478664186E-2</v>
      </c>
      <c r="I13" s="10" t="str">
        <f t="shared" si="3"/>
        <v>Objectif atteint</v>
      </c>
      <c r="J13" s="15"/>
    </row>
    <row r="14" spans="1:10" ht="21.75" customHeight="1" x14ac:dyDescent="0.3">
      <c r="A14" s="29" t="s">
        <v>19</v>
      </c>
      <c r="B14" s="26" t="s">
        <v>27</v>
      </c>
      <c r="C14" s="14">
        <v>10000</v>
      </c>
      <c r="D14" s="14">
        <v>50000</v>
      </c>
      <c r="E14" s="14">
        <v>50000</v>
      </c>
      <c r="F14" s="14">
        <f t="shared" si="0"/>
        <v>110000</v>
      </c>
      <c r="G14" s="16">
        <f t="shared" si="1"/>
        <v>55000</v>
      </c>
      <c r="H14" s="7">
        <f t="shared" si="2"/>
        <v>0.10204081632653061</v>
      </c>
      <c r="I14" s="8" t="str">
        <f t="shared" si="3"/>
        <v>Objectif atteint</v>
      </c>
      <c r="J14" s="14"/>
    </row>
    <row r="15" spans="1:10" ht="21.75" customHeight="1" x14ac:dyDescent="0.3">
      <c r="A15" s="30" t="s">
        <v>20</v>
      </c>
      <c r="B15" s="27" t="s">
        <v>26</v>
      </c>
      <c r="C15" s="15">
        <v>8000</v>
      </c>
      <c r="D15" s="15">
        <v>15000</v>
      </c>
      <c r="E15" s="15">
        <v>20000</v>
      </c>
      <c r="F15" s="15">
        <f t="shared" si="0"/>
        <v>43000</v>
      </c>
      <c r="G15" s="17">
        <f t="shared" si="1"/>
        <v>21500</v>
      </c>
      <c r="H15" s="9">
        <f t="shared" si="2"/>
        <v>3.9888682745825604E-2</v>
      </c>
      <c r="I15" s="10" t="str">
        <f t="shared" si="3"/>
        <v>Objectif non atteint</v>
      </c>
      <c r="J15" s="15"/>
    </row>
    <row r="16" spans="1:10" ht="21.75" customHeight="1" x14ac:dyDescent="0.3">
      <c r="A16" s="29" t="s">
        <v>21</v>
      </c>
      <c r="B16" s="26" t="s">
        <v>28</v>
      </c>
      <c r="C16" s="14">
        <v>15000</v>
      </c>
      <c r="D16" s="14">
        <v>20000</v>
      </c>
      <c r="E16" s="14">
        <v>50000</v>
      </c>
      <c r="F16" s="14">
        <f t="shared" si="0"/>
        <v>85000</v>
      </c>
      <c r="G16" s="16">
        <f t="shared" si="1"/>
        <v>42500</v>
      </c>
      <c r="H16" s="7">
        <f t="shared" si="2"/>
        <v>7.8849721706864564E-2</v>
      </c>
      <c r="I16" s="8" t="str">
        <f t="shared" si="3"/>
        <v>Objectif non atteint</v>
      </c>
      <c r="J16" s="14"/>
    </row>
    <row r="17" spans="1:10" ht="21.75" customHeight="1" x14ac:dyDescent="0.3">
      <c r="A17" s="30" t="s">
        <v>23</v>
      </c>
      <c r="B17" s="27" t="s">
        <v>28</v>
      </c>
      <c r="C17" s="15">
        <v>20000</v>
      </c>
      <c r="D17" s="15">
        <v>30000</v>
      </c>
      <c r="E17" s="15">
        <v>45000</v>
      </c>
      <c r="F17" s="15">
        <f t="shared" si="0"/>
        <v>95000</v>
      </c>
      <c r="G17" s="17">
        <f t="shared" si="1"/>
        <v>47500</v>
      </c>
      <c r="H17" s="9">
        <f t="shared" si="2"/>
        <v>8.8126159554730979E-2</v>
      </c>
      <c r="I17" s="10" t="str">
        <f t="shared" si="3"/>
        <v>Objectif non atteint</v>
      </c>
      <c r="J17" s="15"/>
    </row>
    <row r="18" spans="1:10" ht="21.75" customHeight="1" x14ac:dyDescent="0.3">
      <c r="A18" s="29" t="s">
        <v>24</v>
      </c>
      <c r="B18" s="26" t="s">
        <v>27</v>
      </c>
      <c r="C18" s="14">
        <v>25000</v>
      </c>
      <c r="D18" s="14">
        <v>35000</v>
      </c>
      <c r="E18" s="14">
        <v>42000</v>
      </c>
      <c r="F18" s="14">
        <f t="shared" si="0"/>
        <v>102000</v>
      </c>
      <c r="G18" s="16">
        <f t="shared" si="1"/>
        <v>51000</v>
      </c>
      <c r="H18" s="7">
        <f t="shared" si="2"/>
        <v>9.4619666048237475E-2</v>
      </c>
      <c r="I18" s="8" t="str">
        <f t="shared" si="3"/>
        <v>Objectif atteint</v>
      </c>
      <c r="J18" s="14"/>
    </row>
    <row r="19" spans="1:10" ht="21.75" customHeight="1" x14ac:dyDescent="0.3">
      <c r="A19" s="30" t="s">
        <v>25</v>
      </c>
      <c r="B19" s="27" t="s">
        <v>26</v>
      </c>
      <c r="C19" s="15">
        <v>16000</v>
      </c>
      <c r="D19" s="15">
        <v>40000</v>
      </c>
      <c r="E19" s="15">
        <v>80000</v>
      </c>
      <c r="F19" s="15">
        <f t="shared" si="0"/>
        <v>136000</v>
      </c>
      <c r="G19" s="17">
        <f t="shared" si="1"/>
        <v>68000</v>
      </c>
      <c r="H19" s="9">
        <f t="shared" si="2"/>
        <v>0.12615955473098331</v>
      </c>
      <c r="I19" s="10" t="str">
        <f t="shared" si="3"/>
        <v>Objectif atteint</v>
      </c>
      <c r="J19" s="15"/>
    </row>
    <row r="20" spans="1:10" ht="21.75" customHeight="1" x14ac:dyDescent="0.3">
      <c r="A20" s="31" t="s">
        <v>3</v>
      </c>
      <c r="B20" s="25"/>
      <c r="C20" s="14">
        <f>SUM(C8:C19)</f>
        <v>161000</v>
      </c>
      <c r="D20" s="14">
        <f t="shared" ref="D20:F20" si="4">SUM(D8:D19)</f>
        <v>330000</v>
      </c>
      <c r="E20" s="14">
        <f t="shared" si="4"/>
        <v>587000</v>
      </c>
      <c r="F20" s="14">
        <f t="shared" si="4"/>
        <v>1078000</v>
      </c>
      <c r="G20" s="18">
        <f t="shared" si="1"/>
        <v>539000</v>
      </c>
      <c r="H20" s="7">
        <f t="shared" si="2"/>
        <v>1</v>
      </c>
      <c r="I20" s="11"/>
      <c r="J20" s="19">
        <f>SUM(J8:J19)</f>
        <v>0</v>
      </c>
    </row>
    <row r="21" spans="1:10" x14ac:dyDescent="0.3">
      <c r="A21" s="2"/>
      <c r="B21" s="2"/>
      <c r="C21" s="3"/>
      <c r="D21" s="3"/>
      <c r="E21" s="3"/>
      <c r="F21" s="3"/>
      <c r="G21" s="3"/>
      <c r="H21" s="4"/>
      <c r="I21" s="4"/>
    </row>
    <row r="22" spans="1:10" x14ac:dyDescent="0.3">
      <c r="C22" s="3"/>
      <c r="D22" s="3"/>
      <c r="E22" s="3"/>
      <c r="F22" s="3"/>
      <c r="H22" s="20" t="s">
        <v>10</v>
      </c>
      <c r="I22" s="23"/>
    </row>
    <row r="23" spans="1:10" x14ac:dyDescent="0.3">
      <c r="A23" s="21" t="s">
        <v>4</v>
      </c>
      <c r="B23" s="21"/>
      <c r="C23" s="22">
        <v>41002</v>
      </c>
      <c r="H23" s="21" t="s">
        <v>11</v>
      </c>
      <c r="I23" s="24"/>
    </row>
    <row r="25" spans="1:10" ht="18.75" customHeight="1" x14ac:dyDescent="0.3">
      <c r="A25" s="20" t="s">
        <v>33</v>
      </c>
      <c r="B25" s="34"/>
      <c r="D25" s="5"/>
    </row>
    <row r="26" spans="1:10" ht="18.75" customHeight="1" x14ac:dyDescent="0.3">
      <c r="A26" s="21" t="s">
        <v>115</v>
      </c>
      <c r="B26" s="34"/>
    </row>
    <row r="27" spans="1:10" ht="18.75" customHeight="1" x14ac:dyDescent="0.3">
      <c r="A27" s="20" t="s">
        <v>116</v>
      </c>
      <c r="B27" s="34"/>
    </row>
    <row r="29" spans="1:10" ht="19.5" customHeight="1" x14ac:dyDescent="0.3">
      <c r="A29" s="20" t="s">
        <v>36</v>
      </c>
      <c r="B29" s="20"/>
      <c r="C29" s="34"/>
    </row>
    <row r="30" spans="1:10" ht="22.5" customHeight="1" x14ac:dyDescent="0.3">
      <c r="A30" s="20" t="s">
        <v>35</v>
      </c>
      <c r="B30" s="20"/>
      <c r="C30" s="34"/>
    </row>
    <row r="31" spans="1:10" x14ac:dyDescent="0.3">
      <c r="A31" s="20" t="s">
        <v>34</v>
      </c>
      <c r="B31" s="20"/>
      <c r="C31" s="20"/>
      <c r="D31" s="20"/>
      <c r="E31" s="34"/>
    </row>
  </sheetData>
  <mergeCells count="1">
    <mergeCell ref="A1:J1"/>
  </mergeCells>
  <printOptions horizontalCentered="1"/>
  <pageMargins left="0.78740157480314965" right="0.78740157480314965" top="0.98425196850393704" bottom="0.98425196850393704" header="0.51181102362204722" footer="0.51181102362204722"/>
  <pageSetup paperSize="9" scale="75" orientation="landscape" horizontalDpi="360" verticalDpi="36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2"/>
  <sheetViews>
    <sheetView topLeftCell="A10" workbookViewId="0">
      <selection activeCell="E31" sqref="E31"/>
    </sheetView>
  </sheetViews>
  <sheetFormatPr baseColWidth="10" defaultColWidth="11.44140625" defaultRowHeight="14.4" x14ac:dyDescent="0.3"/>
  <cols>
    <col min="1" max="2" width="18.33203125" style="1" customWidth="1"/>
    <col min="3" max="5" width="12.6640625" style="1" customWidth="1"/>
    <col min="6" max="6" width="14.88671875" style="1" customWidth="1"/>
    <col min="7" max="16384" width="11.44140625" style="1"/>
  </cols>
  <sheetData>
    <row r="1" spans="1:6" ht="30.75" customHeight="1" x14ac:dyDescent="0.3">
      <c r="A1" s="63" t="s">
        <v>22</v>
      </c>
      <c r="B1" s="63"/>
      <c r="C1" s="63"/>
      <c r="D1" s="63"/>
      <c r="E1" s="63"/>
      <c r="F1" s="63"/>
    </row>
    <row r="4" spans="1:6" ht="21" x14ac:dyDescent="0.3">
      <c r="A4" s="32" t="s">
        <v>32</v>
      </c>
    </row>
    <row r="6" spans="1:6" x14ac:dyDescent="0.3">
      <c r="D6" s="1" t="s">
        <v>0</v>
      </c>
    </row>
    <row r="7" spans="1:6" ht="37.5" customHeight="1" x14ac:dyDescent="0.3">
      <c r="A7" s="28"/>
      <c r="B7" s="12" t="s">
        <v>12</v>
      </c>
      <c r="C7" s="12" t="s">
        <v>5</v>
      </c>
      <c r="D7" s="12" t="s">
        <v>1</v>
      </c>
      <c r="E7" s="12" t="s">
        <v>2</v>
      </c>
      <c r="F7" s="12" t="s">
        <v>3</v>
      </c>
    </row>
    <row r="8" spans="1:6" ht="21.75" customHeight="1" x14ac:dyDescent="0.3">
      <c r="A8" s="29" t="s">
        <v>13</v>
      </c>
      <c r="B8" s="26" t="s">
        <v>26</v>
      </c>
      <c r="C8" s="14">
        <f>Janvier!C8+Février!C8+Mars!C8</f>
        <v>30060</v>
      </c>
      <c r="D8" s="14">
        <f>Janvier!D8+Février!D8+Mars!D8</f>
        <v>69930</v>
      </c>
      <c r="E8" s="14"/>
      <c r="F8" s="14"/>
    </row>
    <row r="9" spans="1:6" ht="21.75" customHeight="1" x14ac:dyDescent="0.3">
      <c r="A9" s="30" t="s">
        <v>14</v>
      </c>
      <c r="B9" s="27" t="s">
        <v>27</v>
      </c>
      <c r="C9" s="15">
        <f>Janvier!C9+Février!C9+Mars!C9</f>
        <v>17800</v>
      </c>
      <c r="D9" s="15">
        <f>Janvier!D9+Février!D9+Mars!D9</f>
        <v>20550</v>
      </c>
      <c r="E9" s="15"/>
      <c r="F9" s="15"/>
    </row>
    <row r="10" spans="1:6" ht="21.75" customHeight="1" x14ac:dyDescent="0.3">
      <c r="A10" s="29" t="s">
        <v>15</v>
      </c>
      <c r="B10" s="26" t="s">
        <v>28</v>
      </c>
      <c r="C10" s="14">
        <f>Janvier!C10+Février!C10+Mars!C10</f>
        <v>32000</v>
      </c>
      <c r="D10" s="14">
        <f>Janvier!D10+Février!D10+Mars!D10</f>
        <v>28800</v>
      </c>
      <c r="E10" s="14"/>
      <c r="F10" s="14"/>
    </row>
    <row r="11" spans="1:6" ht="21.75" customHeight="1" x14ac:dyDescent="0.3">
      <c r="A11" s="30" t="s">
        <v>16</v>
      </c>
      <c r="B11" s="27" t="s">
        <v>26</v>
      </c>
      <c r="C11" s="15">
        <f>Janvier!C11+Février!C11+Mars!C11</f>
        <v>39480</v>
      </c>
      <c r="D11" s="15">
        <f>Janvier!D11+Février!D11+Mars!D11</f>
        <v>146230</v>
      </c>
      <c r="E11" s="15"/>
      <c r="F11" s="15"/>
    </row>
    <row r="12" spans="1:6" ht="21.75" customHeight="1" x14ac:dyDescent="0.3">
      <c r="A12" s="29" t="s">
        <v>17</v>
      </c>
      <c r="B12" s="26" t="s">
        <v>26</v>
      </c>
      <c r="C12" s="14">
        <f>Janvier!C12+Février!C12+Mars!C12</f>
        <v>51050</v>
      </c>
      <c r="D12" s="14">
        <f>Janvier!D12+Février!D12+Mars!D12</f>
        <v>104620</v>
      </c>
      <c r="E12" s="14"/>
      <c r="F12" s="14"/>
    </row>
    <row r="13" spans="1:6" ht="21.75" customHeight="1" x14ac:dyDescent="0.3">
      <c r="A13" s="30" t="s">
        <v>18</v>
      </c>
      <c r="B13" s="27" t="s">
        <v>27</v>
      </c>
      <c r="C13" s="15">
        <f>Janvier!C13+Février!C13+Mars!C13</f>
        <v>43447</v>
      </c>
      <c r="D13" s="15">
        <f>Janvier!D13+Février!D13+Mars!D13</f>
        <v>40570</v>
      </c>
      <c r="E13" s="15"/>
      <c r="F13" s="15"/>
    </row>
    <row r="14" spans="1:6" ht="21.75" customHeight="1" x14ac:dyDescent="0.3">
      <c r="A14" s="29" t="s">
        <v>19</v>
      </c>
      <c r="B14" s="26" t="s">
        <v>27</v>
      </c>
      <c r="C14" s="14">
        <f>Janvier!C14+Février!C14+Mars!C14</f>
        <v>20311</v>
      </c>
      <c r="D14" s="14">
        <f>Janvier!D14+Février!D14+Mars!D14</f>
        <v>137470</v>
      </c>
      <c r="E14" s="14"/>
      <c r="F14" s="14"/>
    </row>
    <row r="15" spans="1:6" ht="21.75" customHeight="1" x14ac:dyDescent="0.3">
      <c r="A15" s="30" t="s">
        <v>20</v>
      </c>
      <c r="B15" s="27" t="s">
        <v>26</v>
      </c>
      <c r="C15" s="15">
        <f>Janvier!C15+Février!C15+Mars!C15</f>
        <v>23860</v>
      </c>
      <c r="D15" s="15">
        <f>Janvier!D15+Février!D15+Mars!D15</f>
        <v>40500</v>
      </c>
      <c r="E15" s="15"/>
      <c r="F15" s="15"/>
    </row>
    <row r="16" spans="1:6" ht="21.75" customHeight="1" x14ac:dyDescent="0.3">
      <c r="A16" s="29" t="s">
        <v>21</v>
      </c>
      <c r="B16" s="26" t="s">
        <v>28</v>
      </c>
      <c r="C16" s="14">
        <f>Janvier!C16+Février!C16+Mars!C16</f>
        <v>43430</v>
      </c>
      <c r="D16" s="14">
        <f>Janvier!D16+Février!D16+Mars!D16</f>
        <v>57390</v>
      </c>
      <c r="E16" s="14"/>
      <c r="F16" s="14"/>
    </row>
    <row r="17" spans="1:6" ht="21.75" customHeight="1" x14ac:dyDescent="0.3">
      <c r="A17" s="30" t="s">
        <v>23</v>
      </c>
      <c r="B17" s="27" t="s">
        <v>28</v>
      </c>
      <c r="C17" s="15">
        <f>Janvier!C17+Février!C17+Mars!C17</f>
        <v>53230</v>
      </c>
      <c r="D17" s="15">
        <f>Janvier!D17+Février!D17+Mars!D17</f>
        <v>76970</v>
      </c>
      <c r="E17" s="15"/>
      <c r="F17" s="15"/>
    </row>
    <row r="18" spans="1:6" ht="21.75" customHeight="1" x14ac:dyDescent="0.3">
      <c r="A18" s="29" t="s">
        <v>24</v>
      </c>
      <c r="B18" s="26" t="s">
        <v>27</v>
      </c>
      <c r="C18" s="14">
        <f>Janvier!C18+Février!C18+Mars!C18</f>
        <v>67690</v>
      </c>
      <c r="D18" s="14">
        <f>Janvier!D18+Février!D18+Mars!D18</f>
        <v>110010</v>
      </c>
      <c r="E18" s="14"/>
      <c r="F18" s="14"/>
    </row>
    <row r="19" spans="1:6" ht="21.75" customHeight="1" x14ac:dyDescent="0.3">
      <c r="A19" s="30" t="s">
        <v>25</v>
      </c>
      <c r="B19" s="27" t="s">
        <v>26</v>
      </c>
      <c r="C19" s="15">
        <f>Janvier!C19+Février!C19+Mars!C19</f>
        <v>43000</v>
      </c>
      <c r="D19" s="15">
        <f>Janvier!D19+Février!D19+Mars!D19</f>
        <v>85090</v>
      </c>
      <c r="E19" s="15"/>
      <c r="F19" s="15"/>
    </row>
    <row r="20" spans="1:6" ht="21.75" customHeight="1" x14ac:dyDescent="0.3">
      <c r="A20" s="31" t="s">
        <v>3</v>
      </c>
      <c r="B20" s="25"/>
      <c r="C20" s="14">
        <f>SUM(C8:C19)</f>
        <v>465358</v>
      </c>
      <c r="D20" s="14">
        <f t="shared" ref="D20:F20" si="0">SUM(D8:D19)</f>
        <v>918130</v>
      </c>
      <c r="E20" s="14">
        <f t="shared" si="0"/>
        <v>0</v>
      </c>
      <c r="F20" s="14">
        <f t="shared" si="0"/>
        <v>0</v>
      </c>
    </row>
    <row r="21" spans="1:6" x14ac:dyDescent="0.3">
      <c r="A21" s="2"/>
      <c r="B21" s="2"/>
      <c r="C21" s="3"/>
      <c r="D21" s="3"/>
      <c r="E21" s="3"/>
      <c r="F21" s="3"/>
    </row>
    <row r="22" spans="1:6" x14ac:dyDescent="0.3">
      <c r="A22" s="21" t="s">
        <v>37</v>
      </c>
      <c r="B22" s="21"/>
      <c r="C22" s="23"/>
      <c r="D22" s="3"/>
      <c r="E22" s="3"/>
      <c r="F22" s="3"/>
    </row>
    <row r="23" spans="1:6" x14ac:dyDescent="0.3">
      <c r="C23" s="3"/>
      <c r="D23" s="3"/>
      <c r="E23" s="3"/>
      <c r="F23" s="3"/>
    </row>
    <row r="24" spans="1:6" x14ac:dyDescent="0.3">
      <c r="C24" s="3"/>
      <c r="D24" s="3"/>
      <c r="E24" s="3"/>
      <c r="F24" s="3"/>
    </row>
    <row r="25" spans="1:6" x14ac:dyDescent="0.3">
      <c r="A25" s="21" t="s">
        <v>4</v>
      </c>
      <c r="B25" s="21"/>
      <c r="C25" s="22">
        <v>41063</v>
      </c>
    </row>
    <row r="27" spans="1:6" x14ac:dyDescent="0.3">
      <c r="D27" s="5"/>
    </row>
    <row r="32" spans="1:6" x14ac:dyDescent="0.3">
      <c r="E32" s="6"/>
    </row>
  </sheetData>
  <mergeCells count="1">
    <mergeCell ref="A1:F1"/>
  </mergeCells>
  <printOptions horizontalCentered="1"/>
  <pageMargins left="0.78740157480314965" right="0.78740157480314965" top="0.98425196850393704" bottom="0.98425196850393704" header="0.51181102362204722" footer="0.51181102362204722"/>
  <pageSetup paperSize="9" scale="97" orientation="landscape" horizontalDpi="360" verticalDpi="36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D9"/>
  <sheetViews>
    <sheetView workbookViewId="0">
      <selection activeCell="C13" sqref="C13"/>
    </sheetView>
  </sheetViews>
  <sheetFormatPr baseColWidth="10" defaultColWidth="11.44140625" defaultRowHeight="13.2" x14ac:dyDescent="0.25"/>
  <cols>
    <col min="1" max="1" width="18.109375" style="36" customWidth="1"/>
    <col min="2" max="4" width="18.88671875" style="36" customWidth="1"/>
    <col min="5" max="16384" width="11.44140625" style="36"/>
  </cols>
  <sheetData>
    <row r="3" spans="1:4" ht="24.75" customHeight="1" x14ac:dyDescent="0.35">
      <c r="A3" s="58" t="s">
        <v>39</v>
      </c>
      <c r="B3" s="58" t="s">
        <v>40</v>
      </c>
      <c r="C3" s="58" t="s">
        <v>41</v>
      </c>
      <c r="D3" s="58" t="s">
        <v>42</v>
      </c>
    </row>
    <row r="4" spans="1:4" ht="24.75" customHeight="1" x14ac:dyDescent="0.35">
      <c r="A4" s="57" t="s">
        <v>26</v>
      </c>
      <c r="B4" s="59">
        <v>10450</v>
      </c>
      <c r="C4" s="59">
        <v>10025</v>
      </c>
      <c r="D4" s="59">
        <v>10270</v>
      </c>
    </row>
    <row r="5" spans="1:4" ht="24.75" customHeight="1" x14ac:dyDescent="0.35">
      <c r="A5" s="57" t="s">
        <v>27</v>
      </c>
      <c r="B5" s="59">
        <v>8525</v>
      </c>
      <c r="C5" s="59">
        <v>8610</v>
      </c>
      <c r="D5" s="59">
        <v>5530</v>
      </c>
    </row>
    <row r="6" spans="1:4" ht="24.75" customHeight="1" x14ac:dyDescent="0.35">
      <c r="A6" s="57" t="s">
        <v>43</v>
      </c>
      <c r="B6" s="59">
        <v>8745</v>
      </c>
      <c r="C6" s="59">
        <v>7580</v>
      </c>
      <c r="D6" s="59">
        <v>7795</v>
      </c>
    </row>
    <row r="7" spans="1:4" ht="24.75" customHeight="1" x14ac:dyDescent="0.35">
      <c r="A7" s="57" t="s">
        <v>44</v>
      </c>
      <c r="B7" s="59">
        <v>15550</v>
      </c>
      <c r="C7" s="59">
        <v>16900</v>
      </c>
      <c r="D7" s="59">
        <v>12500</v>
      </c>
    </row>
    <row r="8" spans="1:4" ht="24.75" customHeight="1" x14ac:dyDescent="0.35">
      <c r="A8" s="57" t="s">
        <v>45</v>
      </c>
      <c r="B8" s="59">
        <v>9580</v>
      </c>
      <c r="C8" s="59">
        <v>8750</v>
      </c>
      <c r="D8" s="59">
        <v>9465</v>
      </c>
    </row>
    <row r="9" spans="1:4" ht="24.75" customHeight="1" x14ac:dyDescent="0.35">
      <c r="A9" s="57" t="s">
        <v>3</v>
      </c>
      <c r="B9" s="59">
        <f>SUM(B4:B8)</f>
        <v>52850</v>
      </c>
      <c r="C9" s="59">
        <f>SUM(C4:C8)</f>
        <v>51865</v>
      </c>
      <c r="D9" s="59">
        <f>SUM(D4:D8)</f>
        <v>45560</v>
      </c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D9"/>
  <sheetViews>
    <sheetView workbookViewId="0">
      <selection activeCell="B4" sqref="B4"/>
    </sheetView>
  </sheetViews>
  <sheetFormatPr baseColWidth="10" defaultColWidth="11.44140625" defaultRowHeight="13.2" x14ac:dyDescent="0.25"/>
  <cols>
    <col min="1" max="1" width="18.109375" style="36" customWidth="1"/>
    <col min="2" max="4" width="18.88671875" style="36" customWidth="1"/>
    <col min="5" max="16384" width="11.44140625" style="36"/>
  </cols>
  <sheetData>
    <row r="3" spans="1:4" ht="24.75" customHeight="1" x14ac:dyDescent="0.35">
      <c r="A3" s="58" t="s">
        <v>39</v>
      </c>
      <c r="B3" s="58" t="s">
        <v>40</v>
      </c>
      <c r="C3" s="58" t="s">
        <v>41</v>
      </c>
      <c r="D3" s="58" t="s">
        <v>42</v>
      </c>
    </row>
    <row r="4" spans="1:4" ht="24.75" customHeight="1" x14ac:dyDescent="0.35">
      <c r="A4" s="57" t="s">
        <v>44</v>
      </c>
      <c r="B4" s="59">
        <v>12855</v>
      </c>
      <c r="C4" s="59">
        <v>10950</v>
      </c>
      <c r="D4" s="59">
        <v>9825</v>
      </c>
    </row>
    <row r="5" spans="1:4" ht="24.75" customHeight="1" x14ac:dyDescent="0.35">
      <c r="A5" s="57" t="s">
        <v>43</v>
      </c>
      <c r="B5" s="59">
        <v>7450</v>
      </c>
      <c r="C5" s="59">
        <v>8145</v>
      </c>
      <c r="D5" s="59">
        <v>6867</v>
      </c>
    </row>
    <row r="6" spans="1:4" ht="24.75" customHeight="1" x14ac:dyDescent="0.35">
      <c r="A6" s="57" t="s">
        <v>46</v>
      </c>
      <c r="B6" s="59">
        <v>14035</v>
      </c>
      <c r="C6" s="59">
        <v>18000</v>
      </c>
      <c r="D6" s="59">
        <v>16950</v>
      </c>
    </row>
    <row r="7" spans="1:4" ht="24.75" customHeight="1" x14ac:dyDescent="0.35">
      <c r="A7" s="57" t="s">
        <v>47</v>
      </c>
      <c r="B7" s="59">
        <v>6850</v>
      </c>
      <c r="C7" s="59">
        <v>9420</v>
      </c>
      <c r="D7" s="59">
        <v>8350</v>
      </c>
    </row>
    <row r="8" spans="1:4" ht="24.75" customHeight="1" x14ac:dyDescent="0.35">
      <c r="A8" s="57"/>
      <c r="B8" s="59"/>
      <c r="C8" s="59"/>
      <c r="D8" s="59"/>
    </row>
    <row r="9" spans="1:4" ht="24.75" customHeight="1" x14ac:dyDescent="0.35">
      <c r="A9" s="57" t="s">
        <v>3</v>
      </c>
      <c r="B9" s="59">
        <f>SUM(B4:B8)</f>
        <v>41190</v>
      </c>
      <c r="C9" s="59">
        <f>SUM(C4:C8)</f>
        <v>46515</v>
      </c>
      <c r="D9" s="59">
        <f>SUM(D4:D8)</f>
        <v>41992</v>
      </c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D9"/>
  <sheetViews>
    <sheetView workbookViewId="0">
      <selection activeCell="B4" sqref="B4"/>
    </sheetView>
  </sheetViews>
  <sheetFormatPr baseColWidth="10" defaultColWidth="11.44140625" defaultRowHeight="13.2" x14ac:dyDescent="0.25"/>
  <cols>
    <col min="1" max="1" width="18.109375" style="36" customWidth="1"/>
    <col min="2" max="4" width="18.88671875" style="36" customWidth="1"/>
    <col min="5" max="16384" width="11.44140625" style="36"/>
  </cols>
  <sheetData>
    <row r="3" spans="1:4" ht="24.75" customHeight="1" x14ac:dyDescent="0.35">
      <c r="A3" s="60" t="s">
        <v>39</v>
      </c>
      <c r="B3" s="60" t="s">
        <v>40</v>
      </c>
      <c r="C3" s="60" t="s">
        <v>41</v>
      </c>
      <c r="D3" s="60" t="s">
        <v>42</v>
      </c>
    </row>
    <row r="4" spans="1:4" ht="24.75" customHeight="1" x14ac:dyDescent="0.35">
      <c r="A4" s="61" t="s">
        <v>45</v>
      </c>
      <c r="B4" s="59">
        <v>11500</v>
      </c>
      <c r="C4" s="59">
        <v>9520</v>
      </c>
      <c r="D4" s="59">
        <v>10850</v>
      </c>
    </row>
    <row r="5" spans="1:4" ht="24.75" customHeight="1" x14ac:dyDescent="0.35">
      <c r="A5" s="61" t="s">
        <v>48</v>
      </c>
      <c r="B5" s="59">
        <v>18600</v>
      </c>
      <c r="C5" s="59">
        <v>14230</v>
      </c>
      <c r="D5" s="59">
        <v>16150</v>
      </c>
    </row>
    <row r="6" spans="1:4" ht="24.75" customHeight="1" x14ac:dyDescent="0.35">
      <c r="A6" s="61" t="s">
        <v>49</v>
      </c>
      <c r="B6" s="59">
        <v>22500</v>
      </c>
      <c r="C6" s="59">
        <v>21750</v>
      </c>
      <c r="D6" s="59">
        <v>19840</v>
      </c>
    </row>
    <row r="7" spans="1:4" ht="24.75" customHeight="1" x14ac:dyDescent="0.35">
      <c r="A7" s="61"/>
      <c r="B7" s="59"/>
      <c r="C7" s="59"/>
      <c r="D7" s="59"/>
    </row>
    <row r="8" spans="1:4" ht="24.75" customHeight="1" x14ac:dyDescent="0.35">
      <c r="A8" s="61"/>
      <c r="B8" s="59"/>
      <c r="C8" s="59"/>
      <c r="D8" s="59"/>
    </row>
    <row r="9" spans="1:4" ht="24.75" customHeight="1" x14ac:dyDescent="0.35">
      <c r="A9" s="61" t="s">
        <v>3</v>
      </c>
      <c r="B9" s="59">
        <f>SUM(B4:B8)</f>
        <v>52600</v>
      </c>
      <c r="C9" s="59">
        <f>SUM(C4:C8)</f>
        <v>45500</v>
      </c>
      <c r="D9" s="59">
        <f>SUM(D4:D8)</f>
        <v>46840</v>
      </c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5"/>
  <sheetViews>
    <sheetView tabSelected="1" topLeftCell="A17" zoomScale="70" zoomScaleNormal="70" workbookViewId="0">
      <selection activeCell="I25" sqref="I25"/>
    </sheetView>
  </sheetViews>
  <sheetFormatPr baseColWidth="10" defaultColWidth="11.5546875" defaultRowHeight="14.4" x14ac:dyDescent="0.3"/>
  <cols>
    <col min="1" max="1" width="11.5546875" style="35"/>
    <col min="2" max="2" width="20.109375" style="35" customWidth="1"/>
    <col min="3" max="3" width="11.5546875" style="35"/>
    <col min="4" max="4" width="21.5546875" style="35" customWidth="1"/>
    <col min="5" max="5" width="16.5546875" style="35" customWidth="1"/>
    <col min="6" max="8" width="11.5546875" style="35"/>
    <col min="9" max="9" width="28.33203125" style="35" customWidth="1"/>
    <col min="10" max="16384" width="11.5546875" style="35"/>
  </cols>
  <sheetData>
    <row r="1" spans="1:9" ht="15" thickBot="1" x14ac:dyDescent="0.35">
      <c r="I1" s="37" t="s">
        <v>132</v>
      </c>
    </row>
    <row r="2" spans="1:9" ht="18.600000000000001" customHeight="1" thickBot="1" x14ac:dyDescent="0.35">
      <c r="A2" s="70" t="s">
        <v>50</v>
      </c>
      <c r="B2" s="70" t="s">
        <v>51</v>
      </c>
      <c r="C2" s="71" t="s">
        <v>52</v>
      </c>
      <c r="D2" s="71" t="s">
        <v>53</v>
      </c>
      <c r="E2" s="71" t="s">
        <v>54</v>
      </c>
      <c r="F2" s="72" t="s">
        <v>55</v>
      </c>
      <c r="I2" s="38"/>
    </row>
    <row r="3" spans="1:9" x14ac:dyDescent="0.3">
      <c r="A3" s="73" t="s">
        <v>56</v>
      </c>
      <c r="B3" s="74" t="s">
        <v>57</v>
      </c>
      <c r="C3" s="74">
        <v>340437</v>
      </c>
      <c r="D3" s="74">
        <v>430046</v>
      </c>
      <c r="E3" s="74">
        <v>2384</v>
      </c>
      <c r="F3" s="74">
        <f>D3+E3</f>
        <v>432430</v>
      </c>
    </row>
    <row r="4" spans="1:9" x14ac:dyDescent="0.3">
      <c r="A4" s="75" t="s">
        <v>58</v>
      </c>
      <c r="B4" s="76" t="s">
        <v>59</v>
      </c>
      <c r="C4" s="76">
        <v>340037</v>
      </c>
      <c r="D4" s="76">
        <v>234646</v>
      </c>
      <c r="E4" s="76">
        <v>4537</v>
      </c>
      <c r="F4" s="76">
        <f t="shared" ref="F4:F8" si="0">D4+E4</f>
        <v>239183</v>
      </c>
    </row>
    <row r="5" spans="1:9" x14ac:dyDescent="0.3">
      <c r="A5" s="77" t="s">
        <v>60</v>
      </c>
      <c r="B5" s="78" t="s">
        <v>61</v>
      </c>
      <c r="C5" s="78">
        <v>340504</v>
      </c>
      <c r="D5" s="78">
        <v>564646</v>
      </c>
      <c r="E5" s="78">
        <v>9808</v>
      </c>
      <c r="F5" s="78">
        <f t="shared" si="0"/>
        <v>574454</v>
      </c>
    </row>
    <row r="6" spans="1:9" x14ac:dyDescent="0.3">
      <c r="A6" s="75" t="s">
        <v>62</v>
      </c>
      <c r="B6" s="76" t="s">
        <v>63</v>
      </c>
      <c r="C6" s="76">
        <v>403545</v>
      </c>
      <c r="D6" s="76">
        <v>654646</v>
      </c>
      <c r="E6" s="76">
        <v>7600</v>
      </c>
      <c r="F6" s="76">
        <f t="shared" si="0"/>
        <v>662246</v>
      </c>
    </row>
    <row r="7" spans="1:9" x14ac:dyDescent="0.3">
      <c r="A7" s="77" t="s">
        <v>64</v>
      </c>
      <c r="B7" s="78" t="s">
        <v>65</v>
      </c>
      <c r="C7" s="78">
        <v>201864</v>
      </c>
      <c r="D7" s="78">
        <v>129846</v>
      </c>
      <c r="E7" s="78">
        <v>34000</v>
      </c>
      <c r="F7" s="78">
        <f t="shared" si="0"/>
        <v>163846</v>
      </c>
    </row>
    <row r="8" spans="1:9" x14ac:dyDescent="0.3">
      <c r="A8" s="75" t="s">
        <v>66</v>
      </c>
      <c r="B8" s="76" t="s">
        <v>67</v>
      </c>
      <c r="C8" s="76">
        <v>121549</v>
      </c>
      <c r="D8" s="76">
        <v>453646</v>
      </c>
      <c r="E8" s="76">
        <v>56490</v>
      </c>
      <c r="F8" s="76">
        <f t="shared" si="0"/>
        <v>510136</v>
      </c>
    </row>
    <row r="20" spans="1:9" ht="15.6" x14ac:dyDescent="0.3">
      <c r="A20" s="70" t="s">
        <v>50</v>
      </c>
      <c r="B20" s="73" t="s">
        <v>56</v>
      </c>
      <c r="C20" s="75" t="s">
        <v>58</v>
      </c>
      <c r="D20" s="77" t="s">
        <v>60</v>
      </c>
      <c r="E20" s="75" t="s">
        <v>62</v>
      </c>
      <c r="F20" s="77" t="s">
        <v>64</v>
      </c>
      <c r="G20" s="75" t="s">
        <v>66</v>
      </c>
    </row>
    <row r="21" spans="1:9" ht="15.6" x14ac:dyDescent="0.3">
      <c r="A21" s="70" t="s">
        <v>51</v>
      </c>
      <c r="B21" s="74" t="s">
        <v>57</v>
      </c>
      <c r="C21" s="76" t="s">
        <v>59</v>
      </c>
      <c r="D21" s="78" t="s">
        <v>61</v>
      </c>
      <c r="E21" s="76" t="s">
        <v>63</v>
      </c>
      <c r="F21" s="78" t="s">
        <v>65</v>
      </c>
      <c r="G21" s="76" t="s">
        <v>67</v>
      </c>
      <c r="I21" s="37" t="s">
        <v>133</v>
      </c>
    </row>
    <row r="22" spans="1:9" ht="31.2" x14ac:dyDescent="0.3">
      <c r="A22" s="71" t="s">
        <v>52</v>
      </c>
      <c r="B22" s="74">
        <v>340437</v>
      </c>
      <c r="C22" s="76">
        <v>340037</v>
      </c>
      <c r="D22" s="78">
        <v>340504</v>
      </c>
      <c r="E22" s="76">
        <v>403545</v>
      </c>
      <c r="F22" s="78">
        <v>201864</v>
      </c>
      <c r="G22" s="76">
        <v>121549</v>
      </c>
    </row>
    <row r="23" spans="1:9" ht="93.6" x14ac:dyDescent="0.3">
      <c r="A23" s="71" t="s">
        <v>53</v>
      </c>
      <c r="B23" s="74">
        <v>430046</v>
      </c>
      <c r="C23" s="76">
        <v>234646</v>
      </c>
      <c r="D23" s="78">
        <v>564646</v>
      </c>
      <c r="E23" s="76">
        <v>654646</v>
      </c>
      <c r="F23" s="78">
        <v>129846</v>
      </c>
      <c r="G23" s="76">
        <v>453646</v>
      </c>
    </row>
    <row r="24" spans="1:9" ht="93.6" x14ac:dyDescent="0.3">
      <c r="A24" s="71" t="s">
        <v>54</v>
      </c>
      <c r="B24" s="74">
        <v>2384</v>
      </c>
      <c r="C24" s="76">
        <v>4537</v>
      </c>
      <c r="D24" s="78">
        <v>9808</v>
      </c>
      <c r="E24" s="76">
        <v>7600</v>
      </c>
      <c r="F24" s="78">
        <v>34000</v>
      </c>
      <c r="G24" s="76">
        <v>56490</v>
      </c>
    </row>
    <row r="25" spans="1:9" ht="46.8" x14ac:dyDescent="0.3">
      <c r="A25" s="72" t="s">
        <v>55</v>
      </c>
      <c r="B25" s="74">
        <f>B23+B24</f>
        <v>432430</v>
      </c>
      <c r="C25" s="76">
        <f>C23+C24</f>
        <v>239183</v>
      </c>
      <c r="D25" s="78">
        <f>D23+D24</f>
        <v>574454</v>
      </c>
      <c r="E25" s="76">
        <f>E23+E24</f>
        <v>662246</v>
      </c>
      <c r="F25" s="78">
        <f>F23+F24</f>
        <v>163846</v>
      </c>
      <c r="G25" s="76">
        <f>G23+G24</f>
        <v>510136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"/>
  <sheetViews>
    <sheetView workbookViewId="0">
      <selection activeCell="B27" sqref="B27"/>
    </sheetView>
  </sheetViews>
  <sheetFormatPr baseColWidth="10" defaultRowHeight="13.2" x14ac:dyDescent="0.25"/>
  <cols>
    <col min="1" max="1" width="23.5546875" customWidth="1"/>
    <col min="2" max="2" width="17.6640625" customWidth="1"/>
    <col min="3" max="3" width="18.109375" customWidth="1"/>
    <col min="4" max="4" width="14.88671875" bestFit="1" customWidth="1"/>
    <col min="5" max="5" width="36.109375" customWidth="1"/>
  </cols>
  <sheetData>
    <row r="1" spans="1:5" ht="30" x14ac:dyDescent="0.5">
      <c r="A1" s="64" t="s">
        <v>68</v>
      </c>
      <c r="B1" s="65"/>
      <c r="C1" s="65"/>
      <c r="D1" s="65"/>
      <c r="E1" s="65"/>
    </row>
    <row r="3" spans="1:5" ht="22.8" x14ac:dyDescent="0.4">
      <c r="A3" s="44" t="s">
        <v>71</v>
      </c>
      <c r="B3" s="44" t="s">
        <v>69</v>
      </c>
      <c r="C3" s="44" t="s">
        <v>70</v>
      </c>
      <c r="D3" s="44" t="s">
        <v>72</v>
      </c>
      <c r="E3" s="44" t="s">
        <v>87</v>
      </c>
    </row>
    <row r="4" spans="1:5" x14ac:dyDescent="0.25">
      <c r="A4" s="43">
        <v>10045</v>
      </c>
      <c r="B4" s="42" t="s">
        <v>73</v>
      </c>
      <c r="C4" s="42" t="s">
        <v>74</v>
      </c>
      <c r="D4" s="41"/>
      <c r="E4" s="41"/>
    </row>
    <row r="5" spans="1:5" x14ac:dyDescent="0.25">
      <c r="A5" s="43">
        <v>42508</v>
      </c>
      <c r="B5" s="42" t="s">
        <v>75</v>
      </c>
      <c r="C5" s="42" t="s">
        <v>76</v>
      </c>
      <c r="D5" s="41"/>
      <c r="E5" s="41"/>
    </row>
    <row r="6" spans="1:5" x14ac:dyDescent="0.25">
      <c r="A6" s="43">
        <v>45920</v>
      </c>
      <c r="B6" s="42" t="s">
        <v>78</v>
      </c>
      <c r="C6" s="42" t="s">
        <v>77</v>
      </c>
      <c r="D6" s="41"/>
      <c r="E6" s="41"/>
    </row>
    <row r="7" spans="1:5" x14ac:dyDescent="0.25">
      <c r="A7" s="43">
        <v>35614</v>
      </c>
      <c r="B7" s="42" t="s">
        <v>79</v>
      </c>
      <c r="C7" s="42" t="s">
        <v>80</v>
      </c>
      <c r="D7" s="41"/>
      <c r="E7" s="41"/>
    </row>
    <row r="8" spans="1:5" x14ac:dyDescent="0.25">
      <c r="A8" s="43">
        <v>45789</v>
      </c>
      <c r="B8" s="42" t="s">
        <v>81</v>
      </c>
      <c r="C8" s="42" t="s">
        <v>82</v>
      </c>
      <c r="D8" s="41"/>
      <c r="E8" s="41"/>
    </row>
    <row r="9" spans="1:5" x14ac:dyDescent="0.25">
      <c r="A9" s="43">
        <v>78958</v>
      </c>
      <c r="B9" s="42" t="s">
        <v>83</v>
      </c>
      <c r="C9" s="42" t="s">
        <v>84</v>
      </c>
      <c r="D9" s="41"/>
      <c r="E9" s="41"/>
    </row>
    <row r="10" spans="1:5" x14ac:dyDescent="0.25">
      <c r="A10" s="43">
        <v>12578</v>
      </c>
      <c r="B10" s="42" t="s">
        <v>85</v>
      </c>
      <c r="C10" s="42" t="s">
        <v>86</v>
      </c>
      <c r="D10" s="41"/>
      <c r="E10" s="41"/>
    </row>
  </sheetData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5:E20"/>
  <sheetViews>
    <sheetView workbookViewId="0">
      <selection activeCell="E25" sqref="E25"/>
    </sheetView>
  </sheetViews>
  <sheetFormatPr baseColWidth="10" defaultRowHeight="13.2" x14ac:dyDescent="0.25"/>
  <cols>
    <col min="1" max="1" width="20.109375" customWidth="1"/>
    <col min="2" max="4" width="19.44140625" customWidth="1"/>
    <col min="5" max="5" width="19.109375" customWidth="1"/>
  </cols>
  <sheetData>
    <row r="5" spans="1:5" x14ac:dyDescent="0.25">
      <c r="A5" t="s">
        <v>88</v>
      </c>
      <c r="B5" t="s">
        <v>89</v>
      </c>
      <c r="C5" t="s">
        <v>120</v>
      </c>
      <c r="D5" t="s">
        <v>121</v>
      </c>
      <c r="E5" t="s">
        <v>90</v>
      </c>
    </row>
    <row r="6" spans="1:5" x14ac:dyDescent="0.25">
      <c r="A6" t="s">
        <v>91</v>
      </c>
      <c r="B6" t="s">
        <v>96</v>
      </c>
    </row>
    <row r="7" spans="1:5" x14ac:dyDescent="0.25">
      <c r="A7" t="s">
        <v>92</v>
      </c>
      <c r="B7" t="s">
        <v>97</v>
      </c>
    </row>
    <row r="8" spans="1:5" x14ac:dyDescent="0.25">
      <c r="A8" t="s">
        <v>118</v>
      </c>
      <c r="B8" t="s">
        <v>98</v>
      </c>
    </row>
    <row r="9" spans="1:5" x14ac:dyDescent="0.25">
      <c r="A9" t="s">
        <v>94</v>
      </c>
      <c r="B9" t="s">
        <v>99</v>
      </c>
    </row>
    <row r="10" spans="1:5" x14ac:dyDescent="0.25">
      <c r="A10" t="s">
        <v>95</v>
      </c>
      <c r="B10" t="s">
        <v>100</v>
      </c>
    </row>
    <row r="11" spans="1:5" x14ac:dyDescent="0.25">
      <c r="A11" t="s">
        <v>91</v>
      </c>
      <c r="B11" t="s">
        <v>122</v>
      </c>
    </row>
    <row r="12" spans="1:5" x14ac:dyDescent="0.25">
      <c r="A12" t="s">
        <v>117</v>
      </c>
      <c r="B12" t="s">
        <v>123</v>
      </c>
    </row>
    <row r="13" spans="1:5" x14ac:dyDescent="0.25">
      <c r="A13" t="s">
        <v>93</v>
      </c>
      <c r="B13" t="s">
        <v>124</v>
      </c>
    </row>
    <row r="14" spans="1:5" x14ac:dyDescent="0.25">
      <c r="A14" t="s">
        <v>94</v>
      </c>
      <c r="B14" t="s">
        <v>125</v>
      </c>
    </row>
    <row r="15" spans="1:5" x14ac:dyDescent="0.25">
      <c r="A15" t="s">
        <v>119</v>
      </c>
      <c r="B15" t="s">
        <v>126</v>
      </c>
    </row>
    <row r="18" spans="1:1" ht="17.399999999999999" x14ac:dyDescent="0.3">
      <c r="A18" s="40" t="s">
        <v>128</v>
      </c>
    </row>
    <row r="19" spans="1:1" ht="17.399999999999999" x14ac:dyDescent="0.3">
      <c r="A19" s="40" t="s">
        <v>129</v>
      </c>
    </row>
    <row r="20" spans="1:1" ht="17.399999999999999" x14ac:dyDescent="0.3">
      <c r="A20" s="40" t="s">
        <v>127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2"/>
  <sheetViews>
    <sheetView topLeftCell="A14" zoomScale="160" zoomScaleNormal="160" workbookViewId="0">
      <selection activeCell="G31" sqref="G31"/>
    </sheetView>
  </sheetViews>
  <sheetFormatPr baseColWidth="10" defaultRowHeight="13.2" x14ac:dyDescent="0.25"/>
  <cols>
    <col min="5" max="5" width="12" customWidth="1"/>
  </cols>
  <sheetData>
    <row r="1" spans="1:8" ht="21" thickBot="1" x14ac:dyDescent="0.4">
      <c r="A1" s="66" t="s">
        <v>101</v>
      </c>
      <c r="B1" s="67"/>
      <c r="C1" s="67"/>
      <c r="D1" s="67"/>
      <c r="E1" s="67"/>
      <c r="F1" s="68"/>
    </row>
    <row r="2" spans="1:8" ht="20.399999999999999" x14ac:dyDescent="0.35">
      <c r="A2" s="56"/>
      <c r="B2" s="56"/>
      <c r="C2" s="56"/>
      <c r="D2" s="56"/>
      <c r="E2" s="56"/>
      <c r="F2" s="56"/>
    </row>
    <row r="3" spans="1:8" ht="20.399999999999999" x14ac:dyDescent="0.35">
      <c r="A3" s="69"/>
      <c r="B3" s="69"/>
      <c r="C3" s="69"/>
      <c r="D3" s="69"/>
      <c r="E3" s="69"/>
      <c r="F3" s="69"/>
    </row>
    <row r="5" spans="1:8" ht="13.8" thickBot="1" x14ac:dyDescent="0.3">
      <c r="A5" s="46" t="s">
        <v>102</v>
      </c>
      <c r="B5" s="47" t="s">
        <v>103</v>
      </c>
      <c r="C5" s="47" t="s">
        <v>104</v>
      </c>
      <c r="D5" s="47" t="s">
        <v>105</v>
      </c>
      <c r="E5" s="47" t="s">
        <v>106</v>
      </c>
      <c r="F5" s="47" t="s">
        <v>107</v>
      </c>
    </row>
    <row r="6" spans="1:8" ht="13.8" thickTop="1" x14ac:dyDescent="0.25">
      <c r="A6" s="48" t="s">
        <v>108</v>
      </c>
      <c r="B6" s="49">
        <v>4</v>
      </c>
      <c r="C6" s="49">
        <v>10</v>
      </c>
      <c r="D6" s="49">
        <v>12</v>
      </c>
      <c r="E6" s="50">
        <f>+AVERAGE(B6:D6)</f>
        <v>8.6666666666666661</v>
      </c>
      <c r="F6" s="49"/>
    </row>
    <row r="7" spans="1:8" ht="13.8" thickBot="1" x14ac:dyDescent="0.3">
      <c r="A7" s="51" t="s">
        <v>109</v>
      </c>
      <c r="B7" s="52">
        <v>16</v>
      </c>
      <c r="C7" s="52">
        <v>15</v>
      </c>
      <c r="D7" s="52">
        <v>11</v>
      </c>
      <c r="E7" s="53">
        <f t="shared" ref="E7:E10" si="0">+AVERAGE(B7:D7)</f>
        <v>14</v>
      </c>
      <c r="F7" s="53"/>
    </row>
    <row r="8" spans="1:8" ht="13.8" thickTop="1" x14ac:dyDescent="0.25">
      <c r="A8" s="54" t="s">
        <v>110</v>
      </c>
      <c r="B8" s="45">
        <v>7</v>
      </c>
      <c r="C8" s="45">
        <v>10</v>
      </c>
      <c r="D8" s="45">
        <v>12</v>
      </c>
      <c r="E8" s="55">
        <f t="shared" si="0"/>
        <v>9.6666666666666661</v>
      </c>
      <c r="F8" s="49"/>
      <c r="H8" s="39" t="s">
        <v>113</v>
      </c>
    </row>
    <row r="9" spans="1:8" ht="13.8" thickBot="1" x14ac:dyDescent="0.3">
      <c r="A9" s="51" t="s">
        <v>111</v>
      </c>
      <c r="B9" s="52">
        <v>12</v>
      </c>
      <c r="C9" s="52">
        <v>16</v>
      </c>
      <c r="D9" s="52">
        <v>7</v>
      </c>
      <c r="E9" s="53">
        <f t="shared" si="0"/>
        <v>11.666666666666666</v>
      </c>
      <c r="F9" s="53"/>
    </row>
    <row r="10" spans="1:8" ht="13.8" thickTop="1" x14ac:dyDescent="0.25">
      <c r="A10" s="54" t="s">
        <v>112</v>
      </c>
      <c r="B10" s="45">
        <v>10</v>
      </c>
      <c r="C10" s="45">
        <v>14</v>
      </c>
      <c r="D10" s="45">
        <v>18</v>
      </c>
      <c r="E10" s="55">
        <f t="shared" si="0"/>
        <v>14</v>
      </c>
      <c r="F10" s="49"/>
    </row>
    <row r="12" spans="1:8" x14ac:dyDescent="0.25">
      <c r="A12" s="62" t="s">
        <v>130</v>
      </c>
    </row>
    <row r="14" spans="1:8" ht="20.399999999999999" x14ac:dyDescent="0.35">
      <c r="A14" s="69"/>
      <c r="B14" s="69"/>
      <c r="C14" s="69"/>
      <c r="D14" s="69"/>
      <c r="E14" s="69"/>
      <c r="F14" s="69"/>
    </row>
    <row r="15" spans="1:8" ht="13.8" thickBot="1" x14ac:dyDescent="0.3">
      <c r="A15" s="46" t="s">
        <v>102</v>
      </c>
      <c r="B15" s="47" t="s">
        <v>103</v>
      </c>
      <c r="C15" s="47" t="s">
        <v>104</v>
      </c>
      <c r="D15" s="47" t="s">
        <v>105</v>
      </c>
      <c r="E15" s="47" t="s">
        <v>106</v>
      </c>
      <c r="F15" s="47" t="s">
        <v>107</v>
      </c>
    </row>
    <row r="16" spans="1:8" ht="13.8" thickTop="1" x14ac:dyDescent="0.25">
      <c r="A16" s="48" t="s">
        <v>108</v>
      </c>
      <c r="B16" s="49">
        <v>4</v>
      </c>
      <c r="C16" s="49">
        <v>10</v>
      </c>
      <c r="D16" s="49">
        <v>12</v>
      </c>
      <c r="E16" s="50">
        <f>+AVERAGE(B16:D16)</f>
        <v>8.6666666666666661</v>
      </c>
      <c r="F16" s="49"/>
    </row>
    <row r="17" spans="1:8" ht="13.8" thickBot="1" x14ac:dyDescent="0.3">
      <c r="A17" s="51" t="s">
        <v>109</v>
      </c>
      <c r="B17" s="52">
        <v>16</v>
      </c>
      <c r="C17" s="52">
        <v>15</v>
      </c>
      <c r="D17" s="52">
        <v>11</v>
      </c>
      <c r="E17" s="53">
        <f t="shared" ref="E17:E20" si="1">+AVERAGE(B17:D17)</f>
        <v>14</v>
      </c>
      <c r="F17" s="53"/>
      <c r="H17" s="39" t="s">
        <v>114</v>
      </c>
    </row>
    <row r="18" spans="1:8" ht="13.8" thickTop="1" x14ac:dyDescent="0.25">
      <c r="A18" s="54" t="s">
        <v>110</v>
      </c>
      <c r="B18" s="45">
        <v>7</v>
      </c>
      <c r="C18" s="45">
        <v>10</v>
      </c>
      <c r="D18" s="45">
        <v>12</v>
      </c>
      <c r="E18" s="55">
        <f t="shared" si="1"/>
        <v>9.6666666666666661</v>
      </c>
      <c r="F18" s="49"/>
    </row>
    <row r="19" spans="1:8" ht="13.8" thickBot="1" x14ac:dyDescent="0.3">
      <c r="A19" s="51" t="s">
        <v>111</v>
      </c>
      <c r="B19" s="52">
        <v>12</v>
      </c>
      <c r="C19" s="52">
        <v>16</v>
      </c>
      <c r="D19" s="52">
        <v>7</v>
      </c>
      <c r="E19" s="53">
        <f t="shared" si="1"/>
        <v>11.666666666666666</v>
      </c>
      <c r="F19" s="53"/>
    </row>
    <row r="20" spans="1:8" ht="13.8" thickTop="1" x14ac:dyDescent="0.25">
      <c r="A20" s="54" t="s">
        <v>112</v>
      </c>
      <c r="B20" s="45">
        <v>10</v>
      </c>
      <c r="C20" s="45">
        <v>14</v>
      </c>
      <c r="D20" s="45">
        <v>18</v>
      </c>
      <c r="E20" s="55">
        <f t="shared" si="1"/>
        <v>14</v>
      </c>
      <c r="F20" s="49"/>
    </row>
    <row r="22" spans="1:8" x14ac:dyDescent="0.25">
      <c r="A22" s="62" t="s">
        <v>131</v>
      </c>
    </row>
  </sheetData>
  <mergeCells count="3">
    <mergeCell ref="A1:F1"/>
    <mergeCell ref="A3:F3"/>
    <mergeCell ref="A14:F1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K27" sqref="K27"/>
    </sheetView>
  </sheetViews>
  <sheetFormatPr baseColWidth="10" defaultRowHeight="13.2" x14ac:dyDescent="0.25"/>
  <sheetData/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</vt:lpstr>
      <vt:lpstr>Février</vt:lpstr>
      <vt:lpstr>Mars</vt:lpstr>
      <vt:lpstr>Trim1</vt:lpstr>
      <vt:lpstr>Année 2007</vt:lpstr>
      <vt:lpstr>Année 2008</vt:lpstr>
      <vt:lpstr>Année 2009</vt:lpstr>
      <vt:lpstr>Responsable</vt:lpstr>
      <vt:lpstr>Test</vt:lpstr>
      <vt:lpstr>Test1</vt:lpstr>
      <vt:lpstr>Test2</vt:lpstr>
      <vt:lpstr>3 années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Editions ENI</dc:creator>
  <cp:lastModifiedBy>AKOSSI G  JEAN PHILIPPE</cp:lastModifiedBy>
  <cp:lastPrinted>2012-05-02T11:22:17Z</cp:lastPrinted>
  <dcterms:created xsi:type="dcterms:W3CDTF">1999-11-23T07:58:13Z</dcterms:created>
  <dcterms:modified xsi:type="dcterms:W3CDTF">2026-08-09T20:04:27Z</dcterms:modified>
</cp:coreProperties>
</file>
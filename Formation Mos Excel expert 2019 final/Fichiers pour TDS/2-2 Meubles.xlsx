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ormation excel EXPERT 2016\Formation\"/>
    </mc:Choice>
  </mc:AlternateContent>
  <bookViews>
    <workbookView xWindow="-15" yWindow="-15" windowWidth="11970" windowHeight="3210"/>
  </bookViews>
  <sheets>
    <sheet name="Ventes" sheetId="5" r:id="rId1"/>
    <sheet name="Exposants de spectacles" sheetId="4" r:id="rId2"/>
    <sheet name="Ventes 1er sem" sheetId="1" r:id="rId3"/>
    <sheet name="Prix de revient" sheetId="2" r:id="rId4"/>
  </sheets>
  <calcPr calcId="162913"/>
</workbook>
</file>

<file path=xl/calcChain.xml><?xml version="1.0" encoding="utf-8"?>
<calcChain xmlns="http://schemas.openxmlformats.org/spreadsheetml/2006/main">
  <c r="D19" i="1" l="1"/>
  <c r="F19" i="1" s="1"/>
  <c r="D5" i="1"/>
  <c r="B23" i="1" s="1"/>
  <c r="D6" i="1"/>
  <c r="F6" i="1" s="1"/>
  <c r="D7" i="1"/>
  <c r="F7" i="1"/>
  <c r="D8" i="1"/>
  <c r="F8" i="1" s="1"/>
  <c r="D9" i="1"/>
  <c r="F9" i="1"/>
  <c r="D10" i="1"/>
  <c r="F10" i="1" s="1"/>
  <c r="D11" i="1"/>
  <c r="F11" i="1"/>
  <c r="D12" i="1"/>
  <c r="F12" i="1" s="1"/>
  <c r="D13" i="1"/>
  <c r="F13" i="1"/>
  <c r="D14" i="1"/>
  <c r="F14" i="1" s="1"/>
  <c r="D15" i="1"/>
  <c r="F15" i="1"/>
  <c r="D16" i="1"/>
  <c r="F16" i="1" s="1"/>
  <c r="D17" i="1"/>
  <c r="F17" i="1"/>
  <c r="D18" i="1"/>
  <c r="F18" i="1" s="1"/>
  <c r="B22" i="1"/>
  <c r="E20" i="1"/>
  <c r="F5" i="1"/>
  <c r="F20" i="1" s="1"/>
  <c r="G20" i="1" l="1"/>
  <c r="G15" i="1"/>
  <c r="G17" i="1"/>
  <c r="G5" i="1"/>
  <c r="G12" i="1"/>
  <c r="G9" i="1"/>
  <c r="G14" i="1"/>
  <c r="G11" i="1"/>
  <c r="G6" i="1"/>
  <c r="B24" i="1"/>
  <c r="G16" i="1"/>
  <c r="G13" i="1"/>
  <c r="G8" i="1"/>
  <c r="G18" i="1"/>
  <c r="G10" i="1"/>
  <c r="G7" i="1"/>
  <c r="G19" i="1"/>
  <c r="B25" i="1"/>
</calcChain>
</file>

<file path=xl/sharedStrings.xml><?xml version="1.0" encoding="utf-8"?>
<sst xmlns="http://schemas.openxmlformats.org/spreadsheetml/2006/main" count="226" uniqueCount="167">
  <si>
    <t>ARTICLES</t>
  </si>
  <si>
    <t>PRIX DE
REVIENT</t>
  </si>
  <si>
    <t>MARGE
RÉALISÉE</t>
  </si>
  <si>
    <t>QUANTITÉ</t>
  </si>
  <si>
    <t>BÉNÉFICE
RÉALISÉ</t>
  </si>
  <si>
    <t>PART DU
BÉNÉFICE</t>
  </si>
  <si>
    <t>PRIX DE
VENTE</t>
  </si>
  <si>
    <t>Canapé-lit</t>
  </si>
  <si>
    <t>Canapé 3 places fixe</t>
  </si>
  <si>
    <t>Lit 140x190</t>
  </si>
  <si>
    <t>Chaise fixe</t>
  </si>
  <si>
    <t>Table basse rectangulaire</t>
  </si>
  <si>
    <t>Table carrée</t>
  </si>
  <si>
    <t>Table rectangulaire</t>
  </si>
  <si>
    <t>Armoire 2 portes</t>
  </si>
  <si>
    <t>Buffet 2 portes</t>
  </si>
  <si>
    <t>Buffet 3 portes</t>
  </si>
  <si>
    <t>Commode 2 portes</t>
  </si>
  <si>
    <t>Étagère haute</t>
  </si>
  <si>
    <t>Étagère basse</t>
  </si>
  <si>
    <t>Lit 160x190</t>
  </si>
  <si>
    <t>Chaise pliante</t>
  </si>
  <si>
    <t>TOTAL</t>
  </si>
  <si>
    <t>MEILLEUR BÉNÉFICE RÉALISÉ</t>
  </si>
  <si>
    <t>MARGE MOYENNE RÉALISÉE</t>
  </si>
  <si>
    <t>MOINS BON BÉNÉFICE RÉALISÉ</t>
  </si>
  <si>
    <t>Tableau réalisé le:</t>
  </si>
  <si>
    <t>LE NOMBRE D'ARTICLES</t>
  </si>
  <si>
    <t>RECAPITULATIF DES COMMANDES DU 1ER SEMESTRE</t>
  </si>
  <si>
    <t>PRIX DE REVIENT DES ARTICLES</t>
  </si>
  <si>
    <t>REF</t>
  </si>
  <si>
    <t>ART01</t>
  </si>
  <si>
    <t>ART02</t>
  </si>
  <si>
    <t>ART03</t>
  </si>
  <si>
    <t>ART04</t>
  </si>
  <si>
    <t>ART05</t>
  </si>
  <si>
    <t>ART06</t>
  </si>
  <si>
    <t>ART07</t>
  </si>
  <si>
    <t>ART08</t>
  </si>
  <si>
    <t>ART09</t>
  </si>
  <si>
    <t>ART10</t>
  </si>
  <si>
    <t>ART11</t>
  </si>
  <si>
    <t>ART12</t>
  </si>
  <si>
    <t>ART13</t>
  </si>
  <si>
    <t>ART14</t>
  </si>
  <si>
    <t>ART15</t>
  </si>
  <si>
    <t>Exemplaires vendus</t>
  </si>
  <si>
    <t>Titre</t>
  </si>
  <si>
    <t>Auteur</t>
  </si>
  <si>
    <t>Genre</t>
  </si>
  <si>
    <t>Janvier</t>
  </si>
  <si>
    <t>Février</t>
  </si>
  <si>
    <t>Mars</t>
  </si>
  <si>
    <t>Avril</t>
  </si>
  <si>
    <t>Mai</t>
  </si>
  <si>
    <t>Juin</t>
  </si>
  <si>
    <t>Aventures avec ventes janvier &gt;30000</t>
  </si>
  <si>
    <t>La fille sur la boîte à outils</t>
  </si>
  <si>
    <t>KARINA</t>
  </si>
  <si>
    <t>Fantesie</t>
  </si>
  <si>
    <t>L'étalon or</t>
  </si>
  <si>
    <t>IRENE</t>
  </si>
  <si>
    <t>Littérature non  romanesque</t>
  </si>
  <si>
    <t>Ala découverte du sud</t>
  </si>
  <si>
    <t>FRANK</t>
  </si>
  <si>
    <t>comment j'ai appris à conduire à ma fille</t>
  </si>
  <si>
    <t>ROBERT</t>
  </si>
  <si>
    <t>Le meutre du 61 ème président</t>
  </si>
  <si>
    <t>MILLER</t>
  </si>
  <si>
    <t>thriller</t>
  </si>
  <si>
    <t>Retourne ton parachute</t>
  </si>
  <si>
    <t>ANDREW</t>
  </si>
  <si>
    <t>aventure</t>
  </si>
  <si>
    <t>Audele de la colline</t>
  </si>
  <si>
    <t>BARRY</t>
  </si>
  <si>
    <t>Manuel de la femme d'age mûr</t>
  </si>
  <si>
    <t>SONJA</t>
  </si>
  <si>
    <t>Comment se libérer du stress</t>
  </si>
  <si>
    <t>L'interprêtation du rêve</t>
  </si>
  <si>
    <t>PETE</t>
  </si>
  <si>
    <t>Aventure</t>
  </si>
  <si>
    <t>Comment élever de bons citoyens</t>
  </si>
  <si>
    <t>CHRISTINE</t>
  </si>
  <si>
    <t>Seul dans le monde sauvage</t>
  </si>
  <si>
    <t>PAUL</t>
  </si>
  <si>
    <t>L'esprit d'entreprise</t>
  </si>
  <si>
    <t>DIANE</t>
  </si>
  <si>
    <t>Le grand livre des récette</t>
  </si>
  <si>
    <t>SUSANA</t>
  </si>
  <si>
    <t>Le livres des puzzles</t>
  </si>
  <si>
    <t>JENNIFER</t>
  </si>
  <si>
    <t>Les inventeurs americains les plus etranges</t>
  </si>
  <si>
    <t>LINDA</t>
  </si>
  <si>
    <t>Comment réussir en utliasant le langage corporelle</t>
  </si>
  <si>
    <t>LORI</t>
  </si>
  <si>
    <t>Comment lire dans les esprit</t>
  </si>
  <si>
    <t>MIKE</t>
  </si>
  <si>
    <t>Au sommet</t>
  </si>
  <si>
    <t>PAULETTE</t>
  </si>
  <si>
    <t>Les danses de bal pas à pas</t>
  </si>
  <si>
    <t>NANN</t>
  </si>
  <si>
    <t>Guides des basses terres</t>
  </si>
  <si>
    <t>PILA</t>
  </si>
  <si>
    <t>Une valise à travers le pays</t>
  </si>
  <si>
    <t>Guide de sécuritées du motard</t>
  </si>
  <si>
    <t>ERIC</t>
  </si>
  <si>
    <t>Histoires des feriers</t>
  </si>
  <si>
    <t>DONALD</t>
  </si>
  <si>
    <t>Bibliographie</t>
  </si>
  <si>
    <t>Le grand livre des recettes</t>
  </si>
  <si>
    <t>WENER</t>
  </si>
  <si>
    <t>La cuisson à feu doux dans l'urgence</t>
  </si>
  <si>
    <t>HALLAND</t>
  </si>
  <si>
    <t>Des fleurs fabuleuses</t>
  </si>
  <si>
    <t>Voiyures d'occasions</t>
  </si>
  <si>
    <t>DAVID</t>
  </si>
  <si>
    <t>Refaire votre cuisine</t>
  </si>
  <si>
    <t>JUMP</t>
  </si>
  <si>
    <t>Astronomie les étoiles brillent</t>
  </si>
  <si>
    <t>KATIE</t>
  </si>
  <si>
    <t>La grace divine</t>
  </si>
  <si>
    <t>NANCY</t>
  </si>
  <si>
    <t>La maggie des fêtes</t>
  </si>
  <si>
    <t>CLARK</t>
  </si>
  <si>
    <t>Exposants de spectacles de plongée</t>
  </si>
  <si>
    <t>Nom de l'exposant</t>
  </si>
  <si>
    <t>Industry</t>
  </si>
  <si>
    <t>Location</t>
  </si>
  <si>
    <t>Taille de la cabine</t>
  </si>
  <si>
    <t>Academy of Underter photography</t>
  </si>
  <si>
    <t>Education</t>
  </si>
  <si>
    <t>E-2</t>
  </si>
  <si>
    <t>Amigo Dive Boats and Resort</t>
  </si>
  <si>
    <t>Habillement</t>
  </si>
  <si>
    <t>E-3</t>
  </si>
  <si>
    <t>Belize Dive Resort</t>
  </si>
  <si>
    <t>Voyage</t>
  </si>
  <si>
    <t>E-1</t>
  </si>
  <si>
    <t>Blue Ocean Gear</t>
  </si>
  <si>
    <t>Equipement</t>
  </si>
  <si>
    <t>D-6</t>
  </si>
  <si>
    <t>NottomsUp</t>
  </si>
  <si>
    <t>D-1</t>
  </si>
  <si>
    <t>Caribean Sports Divers</t>
  </si>
  <si>
    <t>D-8</t>
  </si>
  <si>
    <t>Deep blue Wet Suits</t>
  </si>
  <si>
    <t>D-3</t>
  </si>
  <si>
    <t>Dives Knives</t>
  </si>
  <si>
    <t>C-7</t>
  </si>
  <si>
    <t xml:space="preserve">Diver Deb </t>
  </si>
  <si>
    <t>C-2</t>
  </si>
  <si>
    <t>Fiji Diver Retreat</t>
  </si>
  <si>
    <t>A-8</t>
  </si>
  <si>
    <t>Lionfish Dive and Beach Resort</t>
  </si>
  <si>
    <t>A-7</t>
  </si>
  <si>
    <t>Maldives Diving Treks</t>
  </si>
  <si>
    <t>A-5</t>
  </si>
  <si>
    <t>Pacifics Divers</t>
  </si>
  <si>
    <t>A-6</t>
  </si>
  <si>
    <t>Reef Diver Beach Resort</t>
  </si>
  <si>
    <t>B-4</t>
  </si>
  <si>
    <t>Scuba tech and Gear</t>
  </si>
  <si>
    <t>B-3</t>
  </si>
  <si>
    <t>Scuba wear</t>
  </si>
  <si>
    <t>B-1</t>
  </si>
  <si>
    <t>Ultralight Dive Gear</t>
  </si>
  <si>
    <t>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</si>
</sst>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\ _€"/>
    <numFmt numFmtId="165" formatCode="#,##0.00&quot; HT&quot;"/>
    <numFmt numFmtId="166" formatCode="#,##0.00\ &quot;€&quot;"/>
    <numFmt numFmtId="167" formatCode="[$-F800]dddd\,\ mmmm\ dd\,\ yyyy"/>
    <numFmt numFmtId="168" formatCode="[$$-409]#,##0.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9"/>
      <name val="Tahoma"/>
      <family val="2"/>
    </font>
    <font>
      <sz val="11"/>
      <color indexed="8"/>
      <name val="Tahoma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Tahoma"/>
      <family val="2"/>
    </font>
    <font>
      <b/>
      <sz val="12"/>
      <color theme="6" tint="-0.499984740745262"/>
      <name val="Arial Black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6" tint="-0.499984740745262"/>
      <name val="Arial Black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gradientFill degree="90">
        <stop position="0">
          <color theme="6" tint="0.80001220740379042"/>
        </stop>
        <stop position="1">
          <color theme="6" tint="-0.25098422193060094"/>
        </stop>
      </gradientFill>
    </fill>
    <fill>
      <patternFill patternType="gray125">
        <fgColor theme="6" tint="0.39994506668294322"/>
        <bgColor indexed="65"/>
      </patternFill>
    </fill>
  </fills>
  <borders count="21">
    <border>
      <left/>
      <right/>
      <top/>
      <bottom/>
      <diagonal/>
    </border>
    <border>
      <left style="thick">
        <color theme="6" tint="-0.24994659260841701"/>
      </left>
      <right style="thin">
        <color theme="6" tint="-0.24994659260841701"/>
      </right>
      <top style="thick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ck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ck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ck">
        <color theme="6" tint="-0.24994659260841701"/>
      </bottom>
      <diagonal/>
    </border>
    <border>
      <left style="thin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ck">
        <color theme="6" tint="-0.24994659260841701"/>
      </bottom>
      <diagonal/>
    </border>
    <border>
      <left style="thick">
        <color theme="6" tint="-0.24994659260841701"/>
      </left>
      <right style="thin">
        <color theme="6" tint="-0.24994659260841701"/>
      </right>
      <top style="thick">
        <color theme="6" tint="-0.24994659260841701"/>
      </top>
      <bottom/>
      <diagonal/>
    </border>
    <border>
      <left style="thin">
        <color theme="6" tint="-0.24994659260841701"/>
      </left>
      <right style="thick">
        <color theme="6" tint="-0.24994659260841701"/>
      </right>
      <top style="thick">
        <color theme="6" tint="-0.24994659260841701"/>
      </top>
      <bottom/>
      <diagonal/>
    </border>
    <border>
      <left style="thick">
        <color theme="6" tint="-0.24994659260841701"/>
      </left>
      <right style="thin">
        <color theme="6" tint="-0.24994659260841701"/>
      </right>
      <top/>
      <bottom/>
      <diagonal/>
    </border>
    <border>
      <left style="thin">
        <color theme="6" tint="-0.24994659260841701"/>
      </left>
      <right style="thin">
        <color theme="6" tint="-0.24994659260841701"/>
      </right>
      <top/>
      <bottom/>
      <diagonal/>
    </border>
    <border>
      <left style="thin">
        <color theme="6" tint="-0.24994659260841701"/>
      </left>
      <right style="thick">
        <color theme="6" tint="-0.24994659260841701"/>
      </right>
      <top/>
      <bottom/>
      <diagonal/>
    </border>
    <border>
      <left style="thick">
        <color theme="6" tint="-0.24994659260841701"/>
      </left>
      <right style="thin">
        <color theme="6" tint="-0.24994659260841701"/>
      </right>
      <top/>
      <bottom style="thick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 style="thick">
        <color theme="6" tint="-0.24994659260841701"/>
      </bottom>
      <diagonal/>
    </border>
    <border>
      <left style="thin">
        <color theme="6" tint="-0.24994659260841701"/>
      </left>
      <right style="thick">
        <color theme="6" tint="-0.24994659260841701"/>
      </right>
      <top/>
      <bottom style="thick">
        <color theme="6" tint="-0.24994659260841701"/>
      </bottom>
      <diagonal/>
    </border>
    <border>
      <left style="thick">
        <color theme="6" tint="-0.24994659260841701"/>
      </left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6" tint="-0.24994659260841701"/>
      </left>
      <right style="thick">
        <color theme="6" tint="-0.24994659260841701"/>
      </right>
      <top/>
      <bottom style="thin">
        <color theme="6" tint="-0.24994659260841701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6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2"/>
    <xf numFmtId="0" fontId="7" fillId="0" borderId="0" xfId="2" applyFont="1" applyFill="1" applyBorder="1" applyAlignment="1"/>
    <xf numFmtId="0" fontId="6" fillId="0" borderId="0" xfId="0" applyFont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 wrapText="1"/>
    </xf>
    <xf numFmtId="0" fontId="8" fillId="0" borderId="4" xfId="2" applyFont="1" applyFill="1" applyBorder="1" applyAlignment="1">
      <alignment horizontal="left" vertical="center" wrapText="1"/>
    </xf>
    <xf numFmtId="0" fontId="8" fillId="0" borderId="5" xfId="2" applyFont="1" applyFill="1" applyBorder="1" applyAlignment="1">
      <alignment horizontal="left" vertical="center" wrapText="1"/>
    </xf>
    <xf numFmtId="164" fontId="8" fillId="0" borderId="6" xfId="2" applyNumberFormat="1" applyFont="1" applyFill="1" applyBorder="1" applyAlignment="1">
      <alignment horizontal="right" vertical="center" wrapText="1"/>
    </xf>
    <xf numFmtId="0" fontId="8" fillId="0" borderId="7" xfId="2" applyFont="1" applyFill="1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9" fillId="0" borderId="0" xfId="0" applyFont="1" applyBorder="1"/>
    <xf numFmtId="0" fontId="16" fillId="0" borderId="0" xfId="0" applyFont="1" applyFill="1" applyBorder="1" applyAlignment="1">
      <alignment horizontal="left"/>
    </xf>
    <xf numFmtId="167" fontId="9" fillId="0" borderId="0" xfId="0" applyNumberFormat="1" applyFont="1" applyBorder="1"/>
    <xf numFmtId="0" fontId="15" fillId="4" borderId="12" xfId="0" applyFont="1" applyFill="1" applyBorder="1" applyAlignment="1">
      <alignment horizontal="left" indent="2"/>
    </xf>
    <xf numFmtId="166" fontId="0" fillId="0" borderId="13" xfId="0" applyNumberFormat="1" applyBorder="1"/>
    <xf numFmtId="166" fontId="10" fillId="0" borderId="13" xfId="0" applyNumberFormat="1" applyFont="1" applyFill="1" applyBorder="1" applyAlignment="1">
      <alignment horizontal="right" wrapText="1"/>
    </xf>
    <xf numFmtId="0" fontId="10" fillId="0" borderId="13" xfId="0" applyFont="1" applyFill="1" applyBorder="1" applyAlignment="1">
      <alignment horizontal="center" wrapText="1"/>
    </xf>
    <xf numFmtId="165" fontId="10" fillId="0" borderId="13" xfId="0" applyNumberFormat="1" applyFont="1" applyFill="1" applyBorder="1" applyAlignment="1">
      <alignment horizontal="right" wrapText="1"/>
    </xf>
    <xf numFmtId="10" fontId="10" fillId="0" borderId="14" xfId="1" applyNumberFormat="1" applyFont="1" applyFill="1" applyBorder="1" applyAlignment="1">
      <alignment horizontal="right" wrapText="1"/>
    </xf>
    <xf numFmtId="0" fontId="14" fillId="2" borderId="15" xfId="0" applyFont="1" applyFill="1" applyBorder="1" applyAlignment="1">
      <alignment horizontal="left" vertical="center"/>
    </xf>
    <xf numFmtId="2" fontId="14" fillId="2" borderId="16" xfId="0" applyNumberFormat="1" applyFont="1" applyFill="1" applyBorder="1" applyAlignment="1">
      <alignment horizontal="right" vertical="center" wrapText="1"/>
    </xf>
    <xf numFmtId="0" fontId="14" fillId="2" borderId="16" xfId="0" applyFont="1" applyFill="1" applyBorder="1" applyAlignment="1">
      <alignment horizontal="center" vertical="center" wrapText="1"/>
    </xf>
    <xf numFmtId="165" fontId="14" fillId="2" borderId="16" xfId="0" applyNumberFormat="1" applyFont="1" applyFill="1" applyBorder="1" applyAlignment="1">
      <alignment horizontal="right" vertical="center"/>
    </xf>
    <xf numFmtId="10" fontId="14" fillId="2" borderId="17" xfId="1" applyNumberFormat="1" applyFont="1" applyFill="1" applyBorder="1" applyAlignment="1">
      <alignment horizontal="right" vertical="center" wrapText="1"/>
    </xf>
    <xf numFmtId="0" fontId="14" fillId="2" borderId="10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right" wrapText="1"/>
    </xf>
    <xf numFmtId="0" fontId="14" fillId="2" borderId="12" xfId="0" applyFont="1" applyFill="1" applyBorder="1" applyAlignment="1">
      <alignment horizontal="left" vertical="center"/>
    </xf>
    <xf numFmtId="166" fontId="9" fillId="0" borderId="14" xfId="0" applyNumberFormat="1" applyFont="1" applyBorder="1" applyAlignment="1">
      <alignment horizontal="right" wrapText="1"/>
    </xf>
    <xf numFmtId="166" fontId="9" fillId="0" borderId="17" xfId="0" applyNumberFormat="1" applyFont="1" applyBorder="1" applyAlignment="1">
      <alignment horizontal="right" wrapText="1"/>
    </xf>
    <xf numFmtId="0" fontId="13" fillId="2" borderId="1" xfId="0" applyFont="1" applyFill="1" applyBorder="1" applyAlignment="1">
      <alignment horizontal="center" vertical="center" textRotation="45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left" indent="2"/>
    </xf>
    <xf numFmtId="166" fontId="0" fillId="0" borderId="19" xfId="0" applyNumberFormat="1" applyBorder="1"/>
    <xf numFmtId="166" fontId="10" fillId="0" borderId="19" xfId="0" applyNumberFormat="1" applyFont="1" applyFill="1" applyBorder="1" applyAlignment="1">
      <alignment horizontal="right" wrapText="1"/>
    </xf>
    <xf numFmtId="0" fontId="10" fillId="0" borderId="19" xfId="0" applyFont="1" applyFill="1" applyBorder="1" applyAlignment="1">
      <alignment horizontal="center" wrapText="1"/>
    </xf>
    <xf numFmtId="165" fontId="10" fillId="0" borderId="19" xfId="0" applyNumberFormat="1" applyFont="1" applyFill="1" applyBorder="1" applyAlignment="1">
      <alignment horizontal="right" wrapText="1"/>
    </xf>
    <xf numFmtId="10" fontId="10" fillId="0" borderId="20" xfId="1" applyNumberFormat="1" applyFont="1" applyFill="1" applyBorder="1" applyAlignment="1">
      <alignment horizontal="right" wrapText="1"/>
    </xf>
    <xf numFmtId="0" fontId="2" fillId="0" borderId="0" xfId="3"/>
    <xf numFmtId="168" fontId="2" fillId="0" borderId="0" xfId="3" applyNumberFormat="1"/>
    <xf numFmtId="0" fontId="20" fillId="0" borderId="0" xfId="3" applyFont="1"/>
    <xf numFmtId="0" fontId="19" fillId="0" borderId="0" xfId="3" applyFont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12" fillId="3" borderId="0" xfId="2" applyFont="1" applyFill="1" applyBorder="1" applyAlignment="1">
      <alignment horizontal="center" vertical="center"/>
    </xf>
    <xf numFmtId="0" fontId="1" fillId="0" borderId="0" xfId="4"/>
    <xf numFmtId="0" fontId="18" fillId="0" borderId="0" xfId="4" applyFont="1"/>
  </cellXfs>
  <cellStyles count="5">
    <cellStyle name="Normal" xfId="0" builtinId="0"/>
    <cellStyle name="Normal 2" xfId="2"/>
    <cellStyle name="Normal 3" xfId="3"/>
    <cellStyle name="Normal 3 2" xfId="4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numFmt numFmtId="168" formatCode="[$$-409]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au14" displayName="Tableau14" ref="A2:D19" totalsRowShown="0">
  <autoFilter ref="A2:D19"/>
  <tableColumns count="4">
    <tableColumn id="1" name="Nom de l'exposant"/>
    <tableColumn id="3" name="Industry"/>
    <tableColumn id="4" name="Location"/>
    <tableColumn id="2" name="Taille de la cabi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D1" zoomScale="205" zoomScaleNormal="205" workbookViewId="0">
      <selection sqref="A1:G1"/>
    </sheetView>
  </sheetViews>
  <sheetFormatPr baseColWidth="10" defaultRowHeight="15" x14ac:dyDescent="0.25"/>
  <cols>
    <col min="1" max="1" width="48.140625" style="51" customWidth="1"/>
    <col min="2" max="2" width="24.85546875" style="51" customWidth="1"/>
    <col min="3" max="3" width="31.85546875" style="51" customWidth="1"/>
    <col min="4" max="10" width="11.42578125" style="51"/>
    <col min="11" max="11" width="32.28515625" style="51" customWidth="1"/>
    <col min="12" max="16384" width="11.42578125" style="51"/>
  </cols>
  <sheetData>
    <row r="1" spans="1:11" x14ac:dyDescent="0.25">
      <c r="E1" s="51" t="s">
        <v>46</v>
      </c>
    </row>
    <row r="2" spans="1:11" x14ac:dyDescent="0.25">
      <c r="A2" s="51" t="s">
        <v>47</v>
      </c>
      <c r="B2" s="51" t="s">
        <v>48</v>
      </c>
      <c r="C2" s="51" t="s">
        <v>49</v>
      </c>
      <c r="D2" s="52" t="s">
        <v>50</v>
      </c>
      <c r="E2" s="52" t="s">
        <v>51</v>
      </c>
      <c r="F2" s="52" t="s">
        <v>52</v>
      </c>
      <c r="G2" s="52" t="s">
        <v>53</v>
      </c>
      <c r="H2" s="52" t="s">
        <v>54</v>
      </c>
      <c r="I2" s="52" t="s">
        <v>55</v>
      </c>
      <c r="K2" s="52" t="s">
        <v>56</v>
      </c>
    </row>
    <row r="3" spans="1:11" x14ac:dyDescent="0.25">
      <c r="A3" s="51" t="s">
        <v>57</v>
      </c>
      <c r="B3" s="51" t="s">
        <v>58</v>
      </c>
      <c r="C3" s="51" t="s">
        <v>59</v>
      </c>
      <c r="D3" s="51">
        <v>5400</v>
      </c>
      <c r="E3" s="51">
        <v>5883</v>
      </c>
      <c r="F3" s="51">
        <v>5883</v>
      </c>
      <c r="G3" s="51">
        <v>4511</v>
      </c>
      <c r="H3" s="51">
        <v>6528</v>
      </c>
      <c r="I3" s="51">
        <v>4561</v>
      </c>
    </row>
    <row r="4" spans="1:11" x14ac:dyDescent="0.25">
      <c r="A4" s="51" t="s">
        <v>60</v>
      </c>
      <c r="B4" s="51" t="s">
        <v>61</v>
      </c>
      <c r="C4" s="51" t="s">
        <v>62</v>
      </c>
      <c r="D4" s="51">
        <v>6530</v>
      </c>
      <c r="E4" s="51">
        <v>6091</v>
      </c>
      <c r="F4" s="51">
        <v>4512</v>
      </c>
      <c r="G4" s="51">
        <v>6091</v>
      </c>
      <c r="H4" s="51">
        <v>6091</v>
      </c>
      <c r="I4" s="51">
        <v>6091</v>
      </c>
    </row>
    <row r="5" spans="1:11" x14ac:dyDescent="0.25">
      <c r="A5" s="51" t="s">
        <v>63</v>
      </c>
      <c r="B5" s="51" t="s">
        <v>64</v>
      </c>
      <c r="C5" s="51" t="s">
        <v>62</v>
      </c>
      <c r="D5" s="51">
        <v>12307</v>
      </c>
      <c r="E5" s="51">
        <v>12543</v>
      </c>
      <c r="F5" s="51">
        <v>12543</v>
      </c>
      <c r="G5" s="51">
        <v>12543</v>
      </c>
      <c r="H5" s="51">
        <v>10254</v>
      </c>
      <c r="I5" s="51">
        <v>5120</v>
      </c>
    </row>
    <row r="6" spans="1:11" x14ac:dyDescent="0.25">
      <c r="A6" s="51" t="s">
        <v>65</v>
      </c>
      <c r="B6" s="51" t="s">
        <v>66</v>
      </c>
      <c r="C6" s="51" t="s">
        <v>62</v>
      </c>
      <c r="D6" s="51">
        <v>31308</v>
      </c>
      <c r="E6" s="51">
        <v>30900</v>
      </c>
      <c r="F6" s="51">
        <v>30900</v>
      </c>
      <c r="G6" s="51">
        <v>30900</v>
      </c>
      <c r="H6" s="51">
        <v>30900</v>
      </c>
      <c r="I6" s="51">
        <v>34261</v>
      </c>
    </row>
    <row r="7" spans="1:11" x14ac:dyDescent="0.25">
      <c r="A7" s="51" t="s">
        <v>67</v>
      </c>
      <c r="B7" s="51" t="s">
        <v>68</v>
      </c>
      <c r="C7" s="51" t="s">
        <v>69</v>
      </c>
      <c r="D7" s="51">
        <v>38426</v>
      </c>
      <c r="E7" s="51">
        <v>38242</v>
      </c>
      <c r="F7" s="51">
        <v>38242</v>
      </c>
      <c r="G7" s="51">
        <v>38242</v>
      </c>
      <c r="H7" s="51">
        <v>38242</v>
      </c>
      <c r="I7" s="51">
        <v>38242</v>
      </c>
    </row>
    <row r="8" spans="1:11" x14ac:dyDescent="0.25">
      <c r="A8" s="51" t="s">
        <v>70</v>
      </c>
      <c r="B8" s="51" t="s">
        <v>71</v>
      </c>
      <c r="C8" s="51" t="s">
        <v>72</v>
      </c>
      <c r="D8" s="51">
        <v>29233</v>
      </c>
      <c r="E8" s="51">
        <v>28794</v>
      </c>
      <c r="F8" s="51">
        <v>28794</v>
      </c>
      <c r="G8" s="51">
        <v>5621</v>
      </c>
      <c r="H8" s="51">
        <v>28794</v>
      </c>
      <c r="I8" s="51">
        <v>28794</v>
      </c>
    </row>
    <row r="9" spans="1:11" x14ac:dyDescent="0.25">
      <c r="A9" s="51" t="s">
        <v>73</v>
      </c>
      <c r="B9" s="51" t="s">
        <v>74</v>
      </c>
      <c r="C9" s="51" t="s">
        <v>72</v>
      </c>
      <c r="D9" s="51">
        <v>15755</v>
      </c>
      <c r="E9" s="51">
        <v>15633</v>
      </c>
      <c r="F9" s="51">
        <v>2013</v>
      </c>
      <c r="G9" s="51">
        <v>15633</v>
      </c>
      <c r="H9" s="51">
        <v>15633</v>
      </c>
      <c r="I9" s="51">
        <v>15633</v>
      </c>
    </row>
    <row r="10" spans="1:11" x14ac:dyDescent="0.25">
      <c r="A10" s="51" t="s">
        <v>75</v>
      </c>
      <c r="B10" s="51" t="s">
        <v>76</v>
      </c>
      <c r="C10" s="51" t="s">
        <v>62</v>
      </c>
      <c r="D10" s="51">
        <v>30845</v>
      </c>
      <c r="E10" s="51">
        <v>30456</v>
      </c>
      <c r="F10" s="51">
        <v>30456</v>
      </c>
      <c r="G10" s="51">
        <v>30456</v>
      </c>
      <c r="H10" s="51">
        <v>30456</v>
      </c>
      <c r="I10" s="51">
        <v>2045</v>
      </c>
    </row>
    <row r="11" spans="1:11" x14ac:dyDescent="0.25">
      <c r="A11" s="51" t="s">
        <v>77</v>
      </c>
      <c r="B11" s="51" t="s">
        <v>76</v>
      </c>
      <c r="C11" s="51" t="s">
        <v>62</v>
      </c>
      <c r="D11" s="51">
        <v>23327</v>
      </c>
      <c r="E11" s="51">
        <v>23709</v>
      </c>
      <c r="F11" s="51">
        <v>23709</v>
      </c>
      <c r="G11" s="51">
        <v>23709</v>
      </c>
      <c r="H11" s="51">
        <v>23709</v>
      </c>
      <c r="I11" s="51">
        <v>23709</v>
      </c>
    </row>
    <row r="12" spans="1:11" x14ac:dyDescent="0.25">
      <c r="A12" s="51" t="s">
        <v>78</v>
      </c>
      <c r="B12" s="51" t="s">
        <v>79</v>
      </c>
      <c r="C12" s="51" t="s">
        <v>80</v>
      </c>
      <c r="D12" s="51">
        <v>33393</v>
      </c>
      <c r="E12" s="51">
        <v>33919</v>
      </c>
      <c r="F12" s="51">
        <v>33919</v>
      </c>
      <c r="G12" s="51">
        <v>33919</v>
      </c>
      <c r="H12" s="51">
        <v>33919</v>
      </c>
      <c r="I12" s="51">
        <v>33919</v>
      </c>
    </row>
    <row r="13" spans="1:11" x14ac:dyDescent="0.25">
      <c r="A13" s="51" t="s">
        <v>81</v>
      </c>
      <c r="B13" s="51" t="s">
        <v>82</v>
      </c>
      <c r="C13" s="51" t="s">
        <v>62</v>
      </c>
      <c r="D13" s="51">
        <v>37353</v>
      </c>
      <c r="E13" s="51">
        <v>36694</v>
      </c>
      <c r="F13" s="51">
        <v>12450</v>
      </c>
      <c r="G13" s="51">
        <v>36694</v>
      </c>
      <c r="H13" s="51">
        <v>36694</v>
      </c>
      <c r="I13" s="51">
        <v>25460</v>
      </c>
    </row>
    <row r="14" spans="1:11" x14ac:dyDescent="0.25">
      <c r="A14" s="51" t="s">
        <v>83</v>
      </c>
      <c r="B14" s="51" t="s">
        <v>84</v>
      </c>
      <c r="C14" s="51" t="s">
        <v>72</v>
      </c>
      <c r="D14" s="51">
        <v>37057</v>
      </c>
      <c r="E14" s="51">
        <v>37339</v>
      </c>
      <c r="F14" s="51">
        <v>37339</v>
      </c>
      <c r="G14" s="51">
        <v>37339</v>
      </c>
      <c r="H14" s="51">
        <v>25452</v>
      </c>
      <c r="I14" s="51">
        <v>37339</v>
      </c>
    </row>
    <row r="15" spans="1:11" x14ac:dyDescent="0.25">
      <c r="A15" s="51" t="s">
        <v>85</v>
      </c>
      <c r="B15" s="51" t="s">
        <v>86</v>
      </c>
      <c r="C15" s="51" t="s">
        <v>69</v>
      </c>
      <c r="D15" s="51">
        <v>36287</v>
      </c>
      <c r="E15" s="51">
        <v>36307</v>
      </c>
      <c r="F15" s="51">
        <v>36307</v>
      </c>
      <c r="G15" s="51">
        <v>36307</v>
      </c>
      <c r="H15" s="51">
        <v>36307</v>
      </c>
      <c r="I15" s="51">
        <v>36307</v>
      </c>
    </row>
    <row r="16" spans="1:11" x14ac:dyDescent="0.25">
      <c r="A16" s="51" t="s">
        <v>87</v>
      </c>
      <c r="B16" s="51" t="s">
        <v>88</v>
      </c>
      <c r="C16" s="51" t="s">
        <v>62</v>
      </c>
      <c r="D16" s="51">
        <v>35386</v>
      </c>
      <c r="E16" s="51">
        <v>36427</v>
      </c>
      <c r="F16" s="51">
        <v>36427</v>
      </c>
      <c r="G16" s="51">
        <v>36427</v>
      </c>
      <c r="H16" s="51">
        <v>36427</v>
      </c>
      <c r="I16" s="51">
        <v>36427</v>
      </c>
    </row>
    <row r="17" spans="1:9" x14ac:dyDescent="0.25">
      <c r="A17" s="51" t="s">
        <v>89</v>
      </c>
      <c r="B17" s="51" t="s">
        <v>90</v>
      </c>
      <c r="C17" s="51" t="s">
        <v>62</v>
      </c>
      <c r="D17" s="51">
        <v>3751</v>
      </c>
      <c r="E17" s="51">
        <v>3805</v>
      </c>
      <c r="F17" s="51">
        <v>8025</v>
      </c>
      <c r="G17" s="51">
        <v>3805</v>
      </c>
      <c r="H17" s="51">
        <v>4000</v>
      </c>
      <c r="I17" s="51">
        <v>5461</v>
      </c>
    </row>
    <row r="18" spans="1:9" x14ac:dyDescent="0.25">
      <c r="A18" s="51" t="s">
        <v>91</v>
      </c>
      <c r="B18" s="51" t="s">
        <v>92</v>
      </c>
      <c r="C18" s="51" t="s">
        <v>62</v>
      </c>
      <c r="D18" s="51">
        <v>12051</v>
      </c>
      <c r="E18" s="51">
        <v>12141</v>
      </c>
      <c r="F18" s="51">
        <v>9856</v>
      </c>
      <c r="G18" s="51">
        <v>12000</v>
      </c>
      <c r="H18" s="51">
        <v>12221</v>
      </c>
      <c r="I18" s="51">
        <v>1451</v>
      </c>
    </row>
    <row r="19" spans="1:9" x14ac:dyDescent="0.25">
      <c r="A19" s="51" t="s">
        <v>93</v>
      </c>
      <c r="B19" s="51" t="s">
        <v>94</v>
      </c>
      <c r="C19" s="51" t="s">
        <v>62</v>
      </c>
      <c r="D19" s="51">
        <v>28675</v>
      </c>
      <c r="E19" s="51">
        <v>28602</v>
      </c>
      <c r="F19" s="51">
        <v>28602</v>
      </c>
      <c r="G19" s="51">
        <v>28602</v>
      </c>
      <c r="H19" s="51">
        <v>28602</v>
      </c>
      <c r="I19" s="51">
        <v>28602</v>
      </c>
    </row>
    <row r="20" spans="1:9" x14ac:dyDescent="0.25">
      <c r="A20" s="51" t="s">
        <v>95</v>
      </c>
      <c r="B20" s="51" t="s">
        <v>96</v>
      </c>
      <c r="C20" s="51" t="s">
        <v>62</v>
      </c>
      <c r="D20" s="51">
        <v>1250</v>
      </c>
      <c r="E20" s="51">
        <v>1254</v>
      </c>
      <c r="F20" s="51">
        <v>1254</v>
      </c>
      <c r="G20" s="51">
        <v>1254</v>
      </c>
      <c r="H20" s="51">
        <v>1254</v>
      </c>
      <c r="I20" s="51">
        <v>1254</v>
      </c>
    </row>
    <row r="21" spans="1:9" x14ac:dyDescent="0.25">
      <c r="A21" s="51" t="s">
        <v>97</v>
      </c>
      <c r="B21" s="51" t="s">
        <v>98</v>
      </c>
      <c r="C21" s="51" t="s">
        <v>62</v>
      </c>
      <c r="D21" s="51">
        <v>25</v>
      </c>
      <c r="E21" s="51">
        <v>22562</v>
      </c>
      <c r="F21" s="51">
        <v>22562</v>
      </c>
      <c r="G21" s="51">
        <v>22562</v>
      </c>
      <c r="H21" s="51">
        <v>22562</v>
      </c>
      <c r="I21" s="51">
        <v>22562</v>
      </c>
    </row>
    <row r="22" spans="1:9" x14ac:dyDescent="0.25">
      <c r="A22" s="51" t="s">
        <v>99</v>
      </c>
      <c r="B22" s="51" t="s">
        <v>100</v>
      </c>
      <c r="C22" s="51" t="s">
        <v>62</v>
      </c>
      <c r="D22" s="51">
        <v>154</v>
      </c>
      <c r="E22" s="51">
        <v>12546</v>
      </c>
      <c r="F22" s="51">
        <v>12546</v>
      </c>
      <c r="G22" s="51">
        <v>12546</v>
      </c>
      <c r="H22" s="51">
        <v>12546</v>
      </c>
      <c r="I22" s="51">
        <v>12546</v>
      </c>
    </row>
    <row r="23" spans="1:9" x14ac:dyDescent="0.25">
      <c r="A23" s="51" t="s">
        <v>101</v>
      </c>
      <c r="B23" s="51" t="s">
        <v>102</v>
      </c>
      <c r="C23" s="51" t="s">
        <v>62</v>
      </c>
      <c r="D23" s="51">
        <v>1524</v>
      </c>
      <c r="E23" s="51">
        <v>1250</v>
      </c>
      <c r="F23" s="51">
        <v>1250</v>
      </c>
      <c r="G23" s="51">
        <v>1250</v>
      </c>
      <c r="H23" s="51">
        <v>1250</v>
      </c>
      <c r="I23" s="51">
        <v>1250</v>
      </c>
    </row>
    <row r="24" spans="1:9" x14ac:dyDescent="0.25">
      <c r="A24" s="51" t="s">
        <v>103</v>
      </c>
      <c r="B24" s="51" t="s">
        <v>88</v>
      </c>
      <c r="C24" s="51" t="s">
        <v>62</v>
      </c>
      <c r="D24" s="51">
        <v>12586</v>
      </c>
      <c r="E24" s="51">
        <v>15487</v>
      </c>
      <c r="F24" s="51">
        <v>15487</v>
      </c>
      <c r="G24" s="51">
        <v>15487</v>
      </c>
      <c r="H24" s="51">
        <v>15487</v>
      </c>
      <c r="I24" s="51">
        <v>15487</v>
      </c>
    </row>
    <row r="25" spans="1:9" x14ac:dyDescent="0.25">
      <c r="A25" s="51" t="s">
        <v>104</v>
      </c>
      <c r="B25" s="51" t="s">
        <v>105</v>
      </c>
      <c r="C25" s="51" t="s">
        <v>62</v>
      </c>
      <c r="D25" s="51">
        <v>17584</v>
      </c>
      <c r="E25" s="51">
        <v>12546</v>
      </c>
      <c r="F25" s="51">
        <v>12546</v>
      </c>
      <c r="G25" s="51">
        <v>12546</v>
      </c>
      <c r="H25" s="51">
        <v>12546</v>
      </c>
      <c r="I25" s="51">
        <v>12546</v>
      </c>
    </row>
    <row r="26" spans="1:9" x14ac:dyDescent="0.25">
      <c r="A26" s="51" t="s">
        <v>106</v>
      </c>
      <c r="B26" s="51" t="s">
        <v>107</v>
      </c>
      <c r="C26" s="51" t="s">
        <v>108</v>
      </c>
      <c r="D26" s="51">
        <v>18688</v>
      </c>
      <c r="E26" s="51">
        <v>2564</v>
      </c>
      <c r="F26" s="51">
        <v>2564</v>
      </c>
      <c r="G26" s="51">
        <v>2564</v>
      </c>
      <c r="H26" s="51">
        <v>2564</v>
      </c>
      <c r="I26" s="51">
        <v>2564</v>
      </c>
    </row>
    <row r="27" spans="1:9" x14ac:dyDescent="0.25">
      <c r="A27" s="51" t="s">
        <v>109</v>
      </c>
      <c r="B27" s="51" t="s">
        <v>110</v>
      </c>
      <c r="C27" s="51" t="s">
        <v>62</v>
      </c>
      <c r="D27" s="51">
        <v>12058</v>
      </c>
      <c r="E27" s="51">
        <v>12546</v>
      </c>
      <c r="F27" s="51">
        <v>12546</v>
      </c>
      <c r="G27" s="51">
        <v>12546</v>
      </c>
      <c r="H27" s="51">
        <v>12546</v>
      </c>
      <c r="I27" s="51">
        <v>12546</v>
      </c>
    </row>
    <row r="28" spans="1:9" x14ac:dyDescent="0.25">
      <c r="A28" s="51" t="s">
        <v>111</v>
      </c>
      <c r="B28" s="51" t="s">
        <v>112</v>
      </c>
      <c r="C28" s="51" t="s">
        <v>62</v>
      </c>
      <c r="D28" s="51">
        <v>12546</v>
      </c>
      <c r="E28" s="51">
        <v>32568</v>
      </c>
      <c r="F28" s="51">
        <v>32568</v>
      </c>
      <c r="G28" s="51">
        <v>32568</v>
      </c>
      <c r="H28" s="51">
        <v>32568</v>
      </c>
      <c r="I28" s="51">
        <v>32568</v>
      </c>
    </row>
    <row r="29" spans="1:9" x14ac:dyDescent="0.25">
      <c r="A29" s="51" t="s">
        <v>113</v>
      </c>
      <c r="B29" s="51" t="s">
        <v>61</v>
      </c>
      <c r="C29" s="51" t="s">
        <v>62</v>
      </c>
      <c r="D29" s="51">
        <v>14586</v>
      </c>
      <c r="E29" s="51">
        <v>15487</v>
      </c>
      <c r="F29" s="51">
        <v>15487</v>
      </c>
      <c r="G29" s="51">
        <v>15487</v>
      </c>
      <c r="H29" s="51">
        <v>15487</v>
      </c>
      <c r="I29" s="51">
        <v>15487</v>
      </c>
    </row>
    <row r="30" spans="1:9" x14ac:dyDescent="0.25">
      <c r="A30" s="51" t="s">
        <v>114</v>
      </c>
      <c r="B30" s="51" t="s">
        <v>115</v>
      </c>
      <c r="C30" s="51" t="s">
        <v>62</v>
      </c>
      <c r="D30" s="51">
        <v>25455</v>
      </c>
      <c r="E30" s="51">
        <v>4589</v>
      </c>
      <c r="F30" s="51">
        <v>4589</v>
      </c>
      <c r="G30" s="51">
        <v>4589</v>
      </c>
      <c r="H30" s="51">
        <v>4589</v>
      </c>
      <c r="I30" s="51">
        <v>4589</v>
      </c>
    </row>
    <row r="31" spans="1:9" x14ac:dyDescent="0.25">
      <c r="A31" s="51" t="s">
        <v>116</v>
      </c>
      <c r="B31" s="51" t="s">
        <v>117</v>
      </c>
      <c r="C31" s="51" t="s">
        <v>62</v>
      </c>
      <c r="D31" s="51">
        <v>1526</v>
      </c>
      <c r="E31" s="51">
        <v>4789</v>
      </c>
      <c r="F31" s="51">
        <v>4789</v>
      </c>
      <c r="G31" s="51">
        <v>4789</v>
      </c>
      <c r="H31" s="51">
        <v>4789</v>
      </c>
      <c r="I31" s="51">
        <v>4789</v>
      </c>
    </row>
    <row r="32" spans="1:9" x14ac:dyDescent="0.25">
      <c r="A32" s="51" t="s">
        <v>118</v>
      </c>
      <c r="B32" s="51" t="s">
        <v>119</v>
      </c>
      <c r="C32" s="51" t="s">
        <v>62</v>
      </c>
      <c r="D32" s="51">
        <v>4587</v>
      </c>
      <c r="E32" s="51">
        <v>12624</v>
      </c>
      <c r="F32" s="51">
        <v>12624</v>
      </c>
      <c r="G32" s="51">
        <v>12624</v>
      </c>
      <c r="H32" s="51">
        <v>12624</v>
      </c>
      <c r="I32" s="51">
        <v>12624</v>
      </c>
    </row>
    <row r="33" spans="1:9" x14ac:dyDescent="0.25">
      <c r="A33" s="51" t="s">
        <v>120</v>
      </c>
      <c r="B33" s="51" t="s">
        <v>121</v>
      </c>
      <c r="C33" s="51" t="s">
        <v>62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</row>
    <row r="34" spans="1:9" x14ac:dyDescent="0.25">
      <c r="A34" s="51" t="s">
        <v>122</v>
      </c>
      <c r="B34" s="51" t="s">
        <v>123</v>
      </c>
      <c r="C34" s="51" t="s">
        <v>72</v>
      </c>
      <c r="D34" s="51">
        <v>45623</v>
      </c>
      <c r="E34" s="51">
        <v>12004</v>
      </c>
      <c r="F34" s="51">
        <v>12004</v>
      </c>
      <c r="G34" s="51">
        <v>12004</v>
      </c>
      <c r="H34" s="51">
        <v>12004</v>
      </c>
      <c r="I34" s="51">
        <v>12004</v>
      </c>
    </row>
  </sheetData>
  <conditionalFormatting sqref="I3:I27">
    <cfRule type="aboveAverage" dxfId="0" priority="1" aboveAverage="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G1"/>
    </sheetView>
  </sheetViews>
  <sheetFormatPr baseColWidth="10" defaultRowHeight="15" x14ac:dyDescent="0.25"/>
  <cols>
    <col min="1" max="1" width="33" style="45" customWidth="1"/>
    <col min="2" max="2" width="22" style="45" customWidth="1"/>
    <col min="3" max="3" width="17.5703125" style="45" customWidth="1"/>
    <col min="4" max="4" width="21.28515625" style="45" customWidth="1"/>
    <col min="5" max="5" width="11.42578125" style="45"/>
    <col min="6" max="6" width="31.140625" style="45" customWidth="1"/>
    <col min="7" max="7" width="22.7109375" style="45" customWidth="1"/>
    <col min="8" max="16384" width="11.42578125" style="45"/>
  </cols>
  <sheetData>
    <row r="1" spans="1:6" ht="18.75" x14ac:dyDescent="0.3">
      <c r="A1" s="48" t="s">
        <v>124</v>
      </c>
      <c r="B1" s="48"/>
      <c r="C1" s="48"/>
      <c r="D1" s="48"/>
    </row>
    <row r="2" spans="1:6" x14ac:dyDescent="0.25">
      <c r="A2" s="45" t="s">
        <v>125</v>
      </c>
      <c r="B2" s="45" t="s">
        <v>126</v>
      </c>
      <c r="C2" s="45" t="s">
        <v>127</v>
      </c>
      <c r="D2" s="45" t="s">
        <v>128</v>
      </c>
    </row>
    <row r="3" spans="1:6" ht="23.25" x14ac:dyDescent="0.35">
      <c r="A3" s="45" t="s">
        <v>129</v>
      </c>
      <c r="B3" s="45" t="s">
        <v>130</v>
      </c>
      <c r="C3" s="45" t="s">
        <v>131</v>
      </c>
      <c r="D3" s="46">
        <v>1000</v>
      </c>
      <c r="F3" s="47"/>
    </row>
    <row r="4" spans="1:6" x14ac:dyDescent="0.25">
      <c r="A4" s="45" t="s">
        <v>132</v>
      </c>
      <c r="B4" s="45" t="s">
        <v>133</v>
      </c>
      <c r="C4" s="45" t="s">
        <v>134</v>
      </c>
      <c r="D4" s="46">
        <v>500</v>
      </c>
    </row>
    <row r="5" spans="1:6" x14ac:dyDescent="0.25">
      <c r="A5" s="45" t="s">
        <v>135</v>
      </c>
      <c r="B5" s="45" t="s">
        <v>136</v>
      </c>
      <c r="C5" s="45" t="s">
        <v>137</v>
      </c>
      <c r="D5" s="46">
        <v>3000</v>
      </c>
    </row>
    <row r="6" spans="1:6" x14ac:dyDescent="0.25">
      <c r="A6" s="45" t="s">
        <v>138</v>
      </c>
      <c r="B6" s="45" t="s">
        <v>139</v>
      </c>
      <c r="C6" s="45" t="s">
        <v>140</v>
      </c>
      <c r="D6" s="46">
        <v>3000</v>
      </c>
    </row>
    <row r="7" spans="1:6" x14ac:dyDescent="0.25">
      <c r="A7" s="45" t="s">
        <v>141</v>
      </c>
      <c r="B7" s="45" t="s">
        <v>133</v>
      </c>
      <c r="C7" s="45" t="s">
        <v>142</v>
      </c>
      <c r="D7" s="46">
        <v>2000</v>
      </c>
    </row>
    <row r="8" spans="1:6" x14ac:dyDescent="0.25">
      <c r="A8" s="45" t="s">
        <v>143</v>
      </c>
      <c r="B8" s="45" t="s">
        <v>130</v>
      </c>
      <c r="C8" s="45" t="s">
        <v>144</v>
      </c>
      <c r="D8" s="46">
        <v>1000</v>
      </c>
    </row>
    <row r="9" spans="1:6" x14ac:dyDescent="0.25">
      <c r="A9" s="45" t="s">
        <v>145</v>
      </c>
      <c r="B9" s="45" t="s">
        <v>139</v>
      </c>
      <c r="C9" s="45" t="s">
        <v>146</v>
      </c>
      <c r="D9" s="46">
        <v>2000</v>
      </c>
    </row>
    <row r="10" spans="1:6" x14ac:dyDescent="0.25">
      <c r="A10" s="45" t="s">
        <v>147</v>
      </c>
      <c r="B10" s="45" t="s">
        <v>139</v>
      </c>
      <c r="C10" s="45" t="s">
        <v>148</v>
      </c>
      <c r="D10" s="46">
        <v>1000</v>
      </c>
    </row>
    <row r="11" spans="1:6" x14ac:dyDescent="0.25">
      <c r="A11" s="45" t="s">
        <v>149</v>
      </c>
      <c r="B11" s="45" t="s">
        <v>133</v>
      </c>
      <c r="C11" s="45" t="s">
        <v>150</v>
      </c>
      <c r="D11" s="46">
        <v>1000</v>
      </c>
    </row>
    <row r="12" spans="1:6" x14ac:dyDescent="0.25">
      <c r="A12" s="45" t="s">
        <v>151</v>
      </c>
      <c r="B12" s="45" t="s">
        <v>136</v>
      </c>
      <c r="C12" s="45" t="s">
        <v>152</v>
      </c>
      <c r="D12" s="46">
        <v>3000</v>
      </c>
    </row>
    <row r="13" spans="1:6" x14ac:dyDescent="0.25">
      <c r="A13" s="45" t="s">
        <v>153</v>
      </c>
      <c r="B13" s="45" t="s">
        <v>139</v>
      </c>
      <c r="C13" s="45" t="s">
        <v>154</v>
      </c>
      <c r="D13" s="46">
        <v>3000</v>
      </c>
    </row>
    <row r="14" spans="1:6" x14ac:dyDescent="0.25">
      <c r="A14" s="45" t="s">
        <v>155</v>
      </c>
      <c r="B14" s="45" t="s">
        <v>133</v>
      </c>
      <c r="C14" s="45" t="s">
        <v>156</v>
      </c>
      <c r="D14" s="46">
        <v>3000</v>
      </c>
    </row>
    <row r="15" spans="1:6" x14ac:dyDescent="0.25">
      <c r="A15" s="45" t="s">
        <v>157</v>
      </c>
      <c r="B15" s="45" t="s">
        <v>130</v>
      </c>
      <c r="C15" s="45" t="s">
        <v>158</v>
      </c>
      <c r="D15" s="46">
        <v>3000</v>
      </c>
    </row>
    <row r="16" spans="1:6" x14ac:dyDescent="0.25">
      <c r="A16" s="45" t="s">
        <v>159</v>
      </c>
      <c r="B16" s="45" t="s">
        <v>136</v>
      </c>
      <c r="C16" s="45" t="s">
        <v>160</v>
      </c>
      <c r="D16" s="46">
        <v>3000</v>
      </c>
    </row>
    <row r="17" spans="1:4" x14ac:dyDescent="0.25">
      <c r="A17" s="45" t="s">
        <v>161</v>
      </c>
      <c r="B17" s="45" t="s">
        <v>139</v>
      </c>
      <c r="C17" s="45" t="s">
        <v>162</v>
      </c>
      <c r="D17" s="46">
        <v>3000</v>
      </c>
    </row>
    <row r="18" spans="1:4" x14ac:dyDescent="0.25">
      <c r="A18" s="45" t="s">
        <v>163</v>
      </c>
      <c r="B18" s="45" t="s">
        <v>133</v>
      </c>
      <c r="C18" s="45" t="s">
        <v>164</v>
      </c>
      <c r="D18" s="46">
        <v>3000</v>
      </c>
    </row>
    <row r="19" spans="1:4" x14ac:dyDescent="0.25">
      <c r="A19" s="45" t="s">
        <v>165</v>
      </c>
      <c r="B19" s="45" t="s">
        <v>139</v>
      </c>
      <c r="C19" s="45" t="s">
        <v>166</v>
      </c>
      <c r="D19" s="46">
        <v>3000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="110" zoomScaleNormal="110" workbookViewId="0">
      <selection sqref="A1:G1"/>
    </sheetView>
  </sheetViews>
  <sheetFormatPr baseColWidth="10" defaultColWidth="9.140625" defaultRowHeight="12.75" x14ac:dyDescent="0.2"/>
  <cols>
    <col min="1" max="1" width="29.7109375" customWidth="1"/>
    <col min="2" max="2" width="23.42578125" customWidth="1"/>
    <col min="3" max="3" width="18.140625" customWidth="1"/>
    <col min="4" max="6" width="15.7109375" customWidth="1"/>
    <col min="7" max="7" width="16.140625" customWidth="1"/>
  </cols>
  <sheetData>
    <row r="1" spans="1:8" ht="40.5" customHeight="1" x14ac:dyDescent="0.2">
      <c r="A1" s="49" t="s">
        <v>28</v>
      </c>
      <c r="B1" s="49"/>
      <c r="C1" s="49"/>
      <c r="D1" s="49"/>
      <c r="E1" s="49"/>
      <c r="F1" s="49"/>
      <c r="G1" s="49"/>
    </row>
    <row r="2" spans="1:8" ht="15" x14ac:dyDescent="0.25">
      <c r="A2" s="17"/>
      <c r="B2" s="17"/>
      <c r="C2" s="17"/>
      <c r="D2" s="17"/>
      <c r="E2" s="17"/>
      <c r="F2" s="17"/>
      <c r="G2" s="17"/>
    </row>
    <row r="3" spans="1:8" ht="15.75" thickBot="1" x14ac:dyDescent="0.3">
      <c r="A3" s="17"/>
      <c r="B3" s="17"/>
      <c r="C3" s="17"/>
      <c r="D3" s="17"/>
      <c r="E3" s="17"/>
      <c r="F3" s="17"/>
      <c r="G3" s="17"/>
    </row>
    <row r="4" spans="1:8" ht="51" customHeight="1" thickTop="1" x14ac:dyDescent="0.2">
      <c r="A4" s="36" t="s">
        <v>0</v>
      </c>
      <c r="B4" s="37" t="s">
        <v>1</v>
      </c>
      <c r="C4" s="37" t="s">
        <v>6</v>
      </c>
      <c r="D4" s="37" t="s">
        <v>2</v>
      </c>
      <c r="E4" s="37" t="s">
        <v>3</v>
      </c>
      <c r="F4" s="37" t="s">
        <v>4</v>
      </c>
      <c r="G4" s="38" t="s">
        <v>5</v>
      </c>
      <c r="H4" s="2"/>
    </row>
    <row r="5" spans="1:8" ht="15" x14ac:dyDescent="0.25">
      <c r="A5" s="20" t="s">
        <v>7</v>
      </c>
      <c r="B5" s="21">
        <v>2072</v>
      </c>
      <c r="C5" s="22">
        <v>2590</v>
      </c>
      <c r="D5" s="22">
        <f t="shared" ref="D5:D19" si="0">C5-B5</f>
        <v>518</v>
      </c>
      <c r="E5" s="23">
        <v>25</v>
      </c>
      <c r="F5" s="24">
        <f t="shared" ref="F5:F19" si="1">D5*E5</f>
        <v>12950</v>
      </c>
      <c r="G5" s="25">
        <f t="shared" ref="G5:G19" si="2">F5/$F$20</f>
        <v>4.5403836270049965E-2</v>
      </c>
    </row>
    <row r="6" spans="1:8" ht="15" x14ac:dyDescent="0.25">
      <c r="A6" s="20" t="s">
        <v>8</v>
      </c>
      <c r="B6" s="21">
        <v>4495</v>
      </c>
      <c r="C6" s="22">
        <v>5394.6</v>
      </c>
      <c r="D6" s="22">
        <f t="shared" si="0"/>
        <v>899.60000000000036</v>
      </c>
      <c r="E6" s="23">
        <v>18</v>
      </c>
      <c r="F6" s="24">
        <f t="shared" si="1"/>
        <v>16192.800000000007</v>
      </c>
      <c r="G6" s="25">
        <f t="shared" si="2"/>
        <v>5.6773377602599644E-2</v>
      </c>
    </row>
    <row r="7" spans="1:8" ht="15" x14ac:dyDescent="0.25">
      <c r="A7" s="20" t="s">
        <v>9</v>
      </c>
      <c r="B7" s="21">
        <v>1480</v>
      </c>
      <c r="C7" s="22">
        <v>1776</v>
      </c>
      <c r="D7" s="22">
        <f t="shared" si="0"/>
        <v>296</v>
      </c>
      <c r="E7" s="23">
        <v>42</v>
      </c>
      <c r="F7" s="24">
        <f t="shared" si="1"/>
        <v>12432</v>
      </c>
      <c r="G7" s="25">
        <f t="shared" si="2"/>
        <v>4.3587682819247971E-2</v>
      </c>
    </row>
    <row r="8" spans="1:8" ht="15" x14ac:dyDescent="0.25">
      <c r="A8" s="20" t="s">
        <v>20</v>
      </c>
      <c r="B8" s="21">
        <v>1960</v>
      </c>
      <c r="C8" s="22">
        <v>2548</v>
      </c>
      <c r="D8" s="22">
        <f t="shared" si="0"/>
        <v>588</v>
      </c>
      <c r="E8" s="23">
        <v>58</v>
      </c>
      <c r="F8" s="24">
        <f t="shared" si="1"/>
        <v>34104</v>
      </c>
      <c r="G8" s="25">
        <f t="shared" si="2"/>
        <v>0.11957161638253158</v>
      </c>
    </row>
    <row r="9" spans="1:8" ht="15" x14ac:dyDescent="0.25">
      <c r="A9" s="20" t="s">
        <v>10</v>
      </c>
      <c r="B9" s="21">
        <v>157.5</v>
      </c>
      <c r="C9" s="22">
        <v>204.75</v>
      </c>
      <c r="D9" s="22">
        <f t="shared" si="0"/>
        <v>47.25</v>
      </c>
      <c r="E9" s="23">
        <v>57</v>
      </c>
      <c r="F9" s="24">
        <f t="shared" si="1"/>
        <v>2693.25</v>
      </c>
      <c r="G9" s="25">
        <f t="shared" si="2"/>
        <v>9.4427708134603924E-3</v>
      </c>
    </row>
    <row r="10" spans="1:8" ht="15" x14ac:dyDescent="0.25">
      <c r="A10" s="20" t="s">
        <v>21</v>
      </c>
      <c r="B10" s="21">
        <v>101.5</v>
      </c>
      <c r="C10" s="22">
        <v>131.94999999999999</v>
      </c>
      <c r="D10" s="22">
        <f t="shared" si="0"/>
        <v>30.449999999999989</v>
      </c>
      <c r="E10" s="23">
        <v>120</v>
      </c>
      <c r="F10" s="24">
        <f t="shared" si="1"/>
        <v>3653.9999999999986</v>
      </c>
      <c r="G10" s="25">
        <f t="shared" si="2"/>
        <v>1.2811244612414095E-2</v>
      </c>
    </row>
    <row r="11" spans="1:8" ht="15" x14ac:dyDescent="0.25">
      <c r="A11" s="20" t="s">
        <v>11</v>
      </c>
      <c r="B11" s="21">
        <v>1417.5</v>
      </c>
      <c r="C11" s="22">
        <v>1842.75</v>
      </c>
      <c r="D11" s="22">
        <f t="shared" si="0"/>
        <v>425.25</v>
      </c>
      <c r="E11" s="23">
        <v>14</v>
      </c>
      <c r="F11" s="24">
        <f t="shared" si="1"/>
        <v>5953.5</v>
      </c>
      <c r="G11" s="25">
        <f t="shared" si="2"/>
        <v>2.0873493377122972E-2</v>
      </c>
    </row>
    <row r="12" spans="1:8" ht="15" x14ac:dyDescent="0.25">
      <c r="A12" s="20" t="s">
        <v>12</v>
      </c>
      <c r="B12" s="21">
        <v>971.25</v>
      </c>
      <c r="C12" s="22">
        <v>1262.6300000000001</v>
      </c>
      <c r="D12" s="22">
        <f t="shared" si="0"/>
        <v>291.38000000000011</v>
      </c>
      <c r="E12" s="23">
        <v>48</v>
      </c>
      <c r="F12" s="24">
        <f t="shared" si="1"/>
        <v>13986.240000000005</v>
      </c>
      <c r="G12" s="25">
        <f t="shared" si="2"/>
        <v>4.903698463271227E-2</v>
      </c>
    </row>
    <row r="13" spans="1:8" ht="15" x14ac:dyDescent="0.25">
      <c r="A13" s="20" t="s">
        <v>13</v>
      </c>
      <c r="B13" s="21">
        <v>3265.5</v>
      </c>
      <c r="C13" s="22">
        <v>4245.1499999999996</v>
      </c>
      <c r="D13" s="22">
        <f t="shared" si="0"/>
        <v>979.64999999999964</v>
      </c>
      <c r="E13" s="23">
        <v>22</v>
      </c>
      <c r="F13" s="24">
        <f t="shared" si="1"/>
        <v>21552.299999999992</v>
      </c>
      <c r="G13" s="25">
        <f t="shared" si="2"/>
        <v>7.5564254860463129E-2</v>
      </c>
    </row>
    <row r="14" spans="1:8" ht="15" x14ac:dyDescent="0.25">
      <c r="A14" s="20" t="s">
        <v>14</v>
      </c>
      <c r="B14" s="21">
        <v>2280</v>
      </c>
      <c r="C14" s="22">
        <v>2964</v>
      </c>
      <c r="D14" s="22">
        <f t="shared" si="0"/>
        <v>684</v>
      </c>
      <c r="E14" s="23">
        <v>21</v>
      </c>
      <c r="F14" s="24">
        <f t="shared" si="1"/>
        <v>14364</v>
      </c>
      <c r="G14" s="25">
        <f t="shared" si="2"/>
        <v>5.0361444338455422E-2</v>
      </c>
    </row>
    <row r="15" spans="1:8" ht="15" x14ac:dyDescent="0.25">
      <c r="A15" s="20" t="s">
        <v>15</v>
      </c>
      <c r="B15" s="21">
        <v>3600</v>
      </c>
      <c r="C15" s="22">
        <v>4500</v>
      </c>
      <c r="D15" s="22">
        <f t="shared" si="0"/>
        <v>900</v>
      </c>
      <c r="E15" s="23">
        <v>65</v>
      </c>
      <c r="F15" s="24">
        <f t="shared" si="1"/>
        <v>58500</v>
      </c>
      <c r="G15" s="25">
        <f t="shared" si="2"/>
        <v>0.20510613295736857</v>
      </c>
    </row>
    <row r="16" spans="1:8" ht="15" x14ac:dyDescent="0.25">
      <c r="A16" s="20" t="s">
        <v>16</v>
      </c>
      <c r="B16" s="21">
        <v>4600</v>
      </c>
      <c r="C16" s="22">
        <v>5750</v>
      </c>
      <c r="D16" s="22">
        <f t="shared" si="0"/>
        <v>1150</v>
      </c>
      <c r="E16" s="23">
        <v>37</v>
      </c>
      <c r="F16" s="24">
        <f t="shared" si="1"/>
        <v>42550</v>
      </c>
      <c r="G16" s="25">
        <f t="shared" si="2"/>
        <v>0.1491840334587356</v>
      </c>
    </row>
    <row r="17" spans="1:7" ht="15" x14ac:dyDescent="0.25">
      <c r="A17" s="20" t="s">
        <v>17</v>
      </c>
      <c r="B17" s="21">
        <v>1120</v>
      </c>
      <c r="C17" s="22">
        <v>1400</v>
      </c>
      <c r="D17" s="22">
        <f t="shared" si="0"/>
        <v>280</v>
      </c>
      <c r="E17" s="23">
        <v>45</v>
      </c>
      <c r="F17" s="24">
        <f t="shared" si="1"/>
        <v>12600</v>
      </c>
      <c r="G17" s="25">
        <f t="shared" si="2"/>
        <v>4.4176705560048615E-2</v>
      </c>
    </row>
    <row r="18" spans="1:7" ht="15" x14ac:dyDescent="0.25">
      <c r="A18" s="20" t="s">
        <v>19</v>
      </c>
      <c r="B18" s="21">
        <v>1575</v>
      </c>
      <c r="C18" s="22">
        <v>2047.5</v>
      </c>
      <c r="D18" s="22">
        <f t="shared" si="0"/>
        <v>472.5</v>
      </c>
      <c r="E18" s="23">
        <v>30</v>
      </c>
      <c r="F18" s="24">
        <f t="shared" si="1"/>
        <v>14175</v>
      </c>
      <c r="G18" s="25">
        <f t="shared" si="2"/>
        <v>4.969879375505469E-2</v>
      </c>
    </row>
    <row r="19" spans="1:7" ht="15" x14ac:dyDescent="0.25">
      <c r="A19" s="39" t="s">
        <v>18</v>
      </c>
      <c r="B19" s="40">
        <v>1141</v>
      </c>
      <c r="C19" s="41">
        <v>1483.3</v>
      </c>
      <c r="D19" s="41">
        <f t="shared" si="0"/>
        <v>342.29999999999995</v>
      </c>
      <c r="E19" s="42">
        <v>57</v>
      </c>
      <c r="F19" s="43">
        <f t="shared" si="1"/>
        <v>19511.099999999999</v>
      </c>
      <c r="G19" s="44">
        <f t="shared" si="2"/>
        <v>6.840762855973527E-2</v>
      </c>
    </row>
    <row r="20" spans="1:7" ht="21.75" customHeight="1" thickBot="1" x14ac:dyDescent="0.25">
      <c r="A20" s="26" t="s">
        <v>22</v>
      </c>
      <c r="B20" s="27"/>
      <c r="C20" s="27"/>
      <c r="D20" s="27"/>
      <c r="E20" s="28">
        <f>SUM(E5:E19)</f>
        <v>659</v>
      </c>
      <c r="F20" s="29">
        <f>SUM(F5:F19)</f>
        <v>285218.18999999994</v>
      </c>
      <c r="G20" s="30">
        <f>F20/$F$20</f>
        <v>1</v>
      </c>
    </row>
    <row r="21" spans="1:7" ht="16.5" thickTop="1" thickBot="1" x14ac:dyDescent="0.3">
      <c r="A21" s="6"/>
      <c r="B21" s="7"/>
      <c r="C21" s="7"/>
      <c r="D21" s="7"/>
      <c r="E21" s="7"/>
      <c r="F21" s="7"/>
      <c r="G21" s="7"/>
    </row>
    <row r="22" spans="1:7" ht="15.75" thickTop="1" x14ac:dyDescent="0.25">
      <c r="A22" s="31" t="s">
        <v>27</v>
      </c>
      <c r="B22" s="32">
        <f>COUNTA(B5:B19)</f>
        <v>15</v>
      </c>
      <c r="C22" s="7"/>
      <c r="D22" s="7"/>
      <c r="E22" s="7"/>
      <c r="F22" s="7"/>
      <c r="G22" s="7"/>
    </row>
    <row r="23" spans="1:7" ht="15" x14ac:dyDescent="0.25">
      <c r="A23" s="33" t="s">
        <v>24</v>
      </c>
      <c r="B23" s="34">
        <f>AVERAGE(D5:D19)</f>
        <v>526.95866666666666</v>
      </c>
      <c r="C23" s="7"/>
      <c r="D23" s="7"/>
      <c r="E23" s="7"/>
      <c r="F23" s="7"/>
      <c r="G23" s="7"/>
    </row>
    <row r="24" spans="1:7" ht="15" x14ac:dyDescent="0.25">
      <c r="A24" s="33" t="s">
        <v>23</v>
      </c>
      <c r="B24" s="34">
        <f>MAX(F5:F19)</f>
        <v>58500</v>
      </c>
      <c r="C24" s="7"/>
      <c r="D24" s="7"/>
      <c r="E24" s="7"/>
      <c r="F24" s="7"/>
      <c r="G24" s="7"/>
    </row>
    <row r="25" spans="1:7" ht="15.75" thickBot="1" x14ac:dyDescent="0.3">
      <c r="A25" s="26" t="s">
        <v>25</v>
      </c>
      <c r="B25" s="35">
        <f>MIN(F5:F19)</f>
        <v>2693.25</v>
      </c>
      <c r="C25" s="7"/>
      <c r="D25" s="7"/>
      <c r="E25" s="7"/>
      <c r="F25" s="7"/>
      <c r="G25" s="7"/>
    </row>
    <row r="26" spans="1:7" ht="15.75" thickTop="1" x14ac:dyDescent="0.25">
      <c r="A26" s="17"/>
      <c r="B26" s="17"/>
      <c r="C26" s="17"/>
      <c r="D26" s="17"/>
      <c r="E26" s="17"/>
      <c r="F26" s="17"/>
      <c r="G26" s="17"/>
    </row>
    <row r="27" spans="1:7" ht="15" x14ac:dyDescent="0.25">
      <c r="A27" s="17"/>
      <c r="B27" s="17"/>
      <c r="C27" s="17"/>
      <c r="D27" s="17"/>
      <c r="E27" s="17"/>
      <c r="F27" s="17"/>
      <c r="G27" s="17"/>
    </row>
    <row r="28" spans="1:7" ht="15" x14ac:dyDescent="0.25">
      <c r="A28" s="18" t="s">
        <v>26</v>
      </c>
      <c r="B28" s="19">
        <v>41066</v>
      </c>
      <c r="C28" s="17"/>
      <c r="D28" s="17"/>
      <c r="E28" s="17"/>
      <c r="F28" s="17"/>
      <c r="G28" s="17"/>
    </row>
    <row r="29" spans="1:7" x14ac:dyDescent="0.2">
      <c r="A29" s="1"/>
      <c r="B29" s="1"/>
      <c r="C29" s="1"/>
      <c r="D29" s="1"/>
      <c r="E29" s="1"/>
      <c r="F29" s="1"/>
      <c r="G29" s="1"/>
    </row>
  </sheetData>
  <mergeCells count="1">
    <mergeCell ref="A1:G1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8" sqref="A28"/>
    </sheetView>
  </sheetViews>
  <sheetFormatPr baseColWidth="10" defaultRowHeight="12.75" x14ac:dyDescent="0.2"/>
  <cols>
    <col min="1" max="1" width="26.5703125" customWidth="1"/>
    <col min="2" max="2" width="28.42578125" customWidth="1"/>
    <col min="3" max="3" width="17.5703125" customWidth="1"/>
    <col min="4" max="4" width="12.5703125" customWidth="1"/>
  </cols>
  <sheetData>
    <row r="1" spans="1:4" ht="30.75" customHeight="1" x14ac:dyDescent="0.2">
      <c r="A1" s="50" t="s">
        <v>29</v>
      </c>
      <c r="B1" s="50"/>
      <c r="C1" s="50"/>
      <c r="D1" s="4"/>
    </row>
    <row r="3" spans="1:4" ht="13.5" thickBot="1" x14ac:dyDescent="0.25"/>
    <row r="4" spans="1:4" ht="26.25" thickTop="1" x14ac:dyDescent="0.2">
      <c r="A4" s="14" t="s">
        <v>30</v>
      </c>
      <c r="B4" s="15" t="s">
        <v>0</v>
      </c>
      <c r="C4" s="16" t="s">
        <v>1</v>
      </c>
      <c r="D4" s="3"/>
    </row>
    <row r="5" spans="1:4" ht="21" customHeight="1" x14ac:dyDescent="0.2">
      <c r="A5" s="8" t="s">
        <v>31</v>
      </c>
      <c r="B5" s="9" t="s">
        <v>7</v>
      </c>
      <c r="C5" s="10">
        <v>2072</v>
      </c>
      <c r="D5" s="3"/>
    </row>
    <row r="6" spans="1:4" ht="21" customHeight="1" x14ac:dyDescent="0.2">
      <c r="A6" s="8" t="s">
        <v>32</v>
      </c>
      <c r="B6" s="9" t="s">
        <v>8</v>
      </c>
      <c r="C6" s="10">
        <v>4495.5</v>
      </c>
      <c r="D6" s="3"/>
    </row>
    <row r="7" spans="1:4" ht="21" customHeight="1" x14ac:dyDescent="0.2">
      <c r="A7" s="8" t="s">
        <v>33</v>
      </c>
      <c r="B7" s="9" t="s">
        <v>9</v>
      </c>
      <c r="C7" s="10">
        <v>1480</v>
      </c>
      <c r="D7" s="3"/>
    </row>
    <row r="8" spans="1:4" ht="21" customHeight="1" x14ac:dyDescent="0.2">
      <c r="A8" s="8" t="s">
        <v>34</v>
      </c>
      <c r="B8" s="9" t="s">
        <v>20</v>
      </c>
      <c r="C8" s="10">
        <v>1960</v>
      </c>
      <c r="D8" s="3"/>
    </row>
    <row r="9" spans="1:4" ht="21" customHeight="1" x14ac:dyDescent="0.2">
      <c r="A9" s="8" t="s">
        <v>35</v>
      </c>
      <c r="B9" s="9" t="s">
        <v>10</v>
      </c>
      <c r="C9" s="10">
        <v>157.5</v>
      </c>
      <c r="D9" s="3"/>
    </row>
    <row r="10" spans="1:4" ht="21" customHeight="1" x14ac:dyDescent="0.2">
      <c r="A10" s="8" t="s">
        <v>36</v>
      </c>
      <c r="B10" s="9" t="s">
        <v>21</v>
      </c>
      <c r="C10" s="10">
        <v>101.5</v>
      </c>
      <c r="D10" s="3"/>
    </row>
    <row r="11" spans="1:4" ht="21" customHeight="1" x14ac:dyDescent="0.2">
      <c r="A11" s="8" t="s">
        <v>37</v>
      </c>
      <c r="B11" s="9" t="s">
        <v>11</v>
      </c>
      <c r="C11" s="10">
        <v>1417.5</v>
      </c>
      <c r="D11" s="3"/>
    </row>
    <row r="12" spans="1:4" ht="21" customHeight="1" x14ac:dyDescent="0.2">
      <c r="A12" s="8" t="s">
        <v>38</v>
      </c>
      <c r="B12" s="9" t="s">
        <v>12</v>
      </c>
      <c r="C12" s="10">
        <v>971.25</v>
      </c>
      <c r="D12" s="3"/>
    </row>
    <row r="13" spans="1:4" ht="21" customHeight="1" x14ac:dyDescent="0.2">
      <c r="A13" s="8" t="s">
        <v>39</v>
      </c>
      <c r="B13" s="9" t="s">
        <v>13</v>
      </c>
      <c r="C13" s="10">
        <v>3265.5</v>
      </c>
      <c r="D13" s="3"/>
    </row>
    <row r="14" spans="1:4" ht="21" customHeight="1" x14ac:dyDescent="0.2">
      <c r="A14" s="8" t="s">
        <v>40</v>
      </c>
      <c r="B14" s="9" t="s">
        <v>14</v>
      </c>
      <c r="C14" s="10">
        <v>2280</v>
      </c>
      <c r="D14" s="3"/>
    </row>
    <row r="15" spans="1:4" ht="21" customHeight="1" x14ac:dyDescent="0.2">
      <c r="A15" s="8" t="s">
        <v>41</v>
      </c>
      <c r="B15" s="9" t="s">
        <v>15</v>
      </c>
      <c r="C15" s="10">
        <v>3600</v>
      </c>
      <c r="D15" s="3"/>
    </row>
    <row r="16" spans="1:4" ht="21" customHeight="1" x14ac:dyDescent="0.2">
      <c r="A16" s="8" t="s">
        <v>42</v>
      </c>
      <c r="B16" s="9" t="s">
        <v>16</v>
      </c>
      <c r="C16" s="10">
        <v>4600</v>
      </c>
    </row>
    <row r="17" spans="1:3" ht="21" customHeight="1" x14ac:dyDescent="0.2">
      <c r="A17" s="8" t="s">
        <v>43</v>
      </c>
      <c r="B17" s="9" t="s">
        <v>17</v>
      </c>
      <c r="C17" s="10">
        <v>1120</v>
      </c>
    </row>
    <row r="18" spans="1:3" ht="21" customHeight="1" x14ac:dyDescent="0.2">
      <c r="A18" s="8" t="s">
        <v>44</v>
      </c>
      <c r="B18" s="9" t="s">
        <v>19</v>
      </c>
      <c r="C18" s="10">
        <v>1575</v>
      </c>
    </row>
    <row r="19" spans="1:3" ht="21" customHeight="1" thickBot="1" x14ac:dyDescent="0.25">
      <c r="A19" s="11" t="s">
        <v>45</v>
      </c>
      <c r="B19" s="12" t="s">
        <v>18</v>
      </c>
      <c r="C19" s="13">
        <v>1141</v>
      </c>
    </row>
    <row r="20" spans="1:3" ht="13.5" thickTop="1" x14ac:dyDescent="0.2"/>
    <row r="23" spans="1:3" x14ac:dyDescent="0.2">
      <c r="B23" s="5"/>
    </row>
  </sheetData>
  <mergeCells count="1">
    <mergeCell ref="A1:C1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Exposants de spectacles</vt:lpstr>
      <vt:lpstr>Ventes 1er sem</vt:lpstr>
      <vt:lpstr>Prix de revient</vt:lpstr>
    </vt:vector>
  </TitlesOfParts>
  <Company>ENI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AKOSSI JEAN PHILIPE</cp:lastModifiedBy>
  <cp:lastPrinted>2011-05-26T08:39:49Z</cp:lastPrinted>
  <dcterms:created xsi:type="dcterms:W3CDTF">1999-11-24T10:32:14Z</dcterms:created>
  <dcterms:modified xsi:type="dcterms:W3CDTF">2019-07-17T10:55:55Z</dcterms:modified>
</cp:coreProperties>
</file>
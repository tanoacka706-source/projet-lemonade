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Formation Mos Excel expert 2019\Fichiers pour TDS\"/>
    </mc:Choice>
  </mc:AlternateContent>
  <xr:revisionPtr revIDLastSave="0" documentId="8_{FBD5DC51-937D-4ADA-B160-5364CB37E8FA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Facture" sheetId="5" r:id="rId1"/>
    <sheet name="Feuil2" sheetId="4" r:id="rId2"/>
    <sheet name="Feuil3" sheetId="2" r:id="rId3"/>
  </sheets>
  <calcPr calcId="191029" iterate="1" iterateCount="8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E26" i="5"/>
  <c r="E27" i="5"/>
  <c r="E28" i="5"/>
  <c r="E37" i="5" l="1"/>
  <c r="E38" i="5" l="1"/>
  <c r="E39" i="5" s="1"/>
</calcChain>
</file>

<file path=xl/sharedStrings.xml><?xml version="1.0" encoding="utf-8"?>
<sst xmlns="http://schemas.openxmlformats.org/spreadsheetml/2006/main" count="29" uniqueCount="24">
  <si>
    <t>125 Bd. des Martyrs</t>
  </si>
  <si>
    <t>Facture numéro :</t>
  </si>
  <si>
    <t>En date du :</t>
  </si>
  <si>
    <t>Code Article</t>
  </si>
  <si>
    <t>Qtés</t>
  </si>
  <si>
    <t>Total avant remise :</t>
  </si>
  <si>
    <t>Remise de :</t>
  </si>
  <si>
    <t>Total après remise :</t>
  </si>
  <si>
    <t>Facture à payer avant le :</t>
  </si>
  <si>
    <t>Le roi lion géant</t>
  </si>
  <si>
    <t>Ours qui ronfle</t>
  </si>
  <si>
    <t>Mecano junior buggy</t>
  </si>
  <si>
    <t>Batterie Kiddy</t>
  </si>
  <si>
    <t>Nos chers petits</t>
  </si>
  <si>
    <t>Désignation</t>
  </si>
  <si>
    <t>FAC05/99/125</t>
  </si>
  <si>
    <t>PE150</t>
  </si>
  <si>
    <t>PE58</t>
  </si>
  <si>
    <t>MU64</t>
  </si>
  <si>
    <t>CO42</t>
  </si>
  <si>
    <t/>
  </si>
  <si>
    <t>Prix unitaire</t>
  </si>
  <si>
    <t>Total</t>
  </si>
  <si>
    <t>75001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</si>
</sst>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.00\ [$€-1]_-;\-* #,##0.00\ [$€-1]_-;_-* &quot;-&quot;??\ [$€-1]_-;_-@_-"/>
    <numFmt numFmtId="166" formatCode="0;0;"/>
    <numFmt numFmtId="167" formatCode="d\-mmm\-yyyy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name val="Times New Roman"/>
      <family val="1"/>
    </font>
    <font>
      <i/>
      <sz val="10"/>
      <name val="Times New Roman"/>
      <family val="1"/>
    </font>
    <font>
      <sz val="12"/>
      <color theme="0"/>
      <name val="Times New Roman"/>
      <family val="1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4"/>
      <color theme="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5"/>
      </patternFill>
    </fill>
  </fills>
  <borders count="16">
    <border>
      <left/>
      <right/>
      <top/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34">
    <xf numFmtId="0" fontId="0" fillId="0" borderId="0" xfId="0"/>
    <xf numFmtId="0" fontId="4" fillId="0" borderId="0" xfId="2" applyFont="1"/>
    <xf numFmtId="0" fontId="3" fillId="0" borderId="0" xfId="2"/>
    <xf numFmtId="0" fontId="5" fillId="0" borderId="0" xfId="2" applyFont="1"/>
    <xf numFmtId="0" fontId="6" fillId="2" borderId="2" xfId="2" applyFont="1" applyFill="1" applyBorder="1"/>
    <xf numFmtId="0" fontId="6" fillId="2" borderId="3" xfId="2" applyFont="1" applyFill="1" applyBorder="1"/>
    <xf numFmtId="0" fontId="6" fillId="2" borderId="0" xfId="2" applyFont="1" applyFill="1"/>
    <xf numFmtId="0" fontId="6" fillId="2" borderId="5" xfId="2" applyFont="1" applyFill="1" applyBorder="1"/>
    <xf numFmtId="0" fontId="6" fillId="2" borderId="7" xfId="2" applyFont="1" applyFill="1" applyBorder="1"/>
    <xf numFmtId="0" fontId="6" fillId="2" borderId="8" xfId="2" applyFont="1" applyFill="1" applyBorder="1"/>
    <xf numFmtId="0" fontId="7" fillId="0" borderId="0" xfId="2" applyFont="1"/>
    <xf numFmtId="0" fontId="8" fillId="0" borderId="0" xfId="2" applyFont="1"/>
    <xf numFmtId="14" fontId="8" fillId="0" borderId="0" xfId="2" applyNumberFormat="1" applyFont="1"/>
    <xf numFmtId="0" fontId="10" fillId="0" borderId="0" xfId="2" applyFont="1"/>
    <xf numFmtId="166" fontId="10" fillId="0" borderId="0" xfId="2" applyNumberFormat="1" applyFont="1"/>
    <xf numFmtId="0" fontId="10" fillId="0" borderId="0" xfId="2" applyFont="1" applyAlignment="1">
      <alignment vertical="center"/>
    </xf>
    <xf numFmtId="164" fontId="10" fillId="0" borderId="0" xfId="3" applyFont="1" applyBorder="1" applyAlignment="1">
      <alignment vertical="center"/>
    </xf>
    <xf numFmtId="0" fontId="10" fillId="0" borderId="0" xfId="3" applyNumberFormat="1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0" fillId="0" borderId="10" xfId="2" applyFont="1" applyBorder="1" applyAlignment="1">
      <alignment vertical="center"/>
    </xf>
    <xf numFmtId="164" fontId="1" fillId="3" borderId="11" xfId="4" applyNumberFormat="1" applyBorder="1" applyAlignment="1">
      <alignment vertical="center"/>
    </xf>
    <xf numFmtId="0" fontId="10" fillId="0" borderId="12" xfId="2" applyFont="1" applyBorder="1" applyAlignment="1">
      <alignment vertical="center"/>
    </xf>
    <xf numFmtId="9" fontId="1" fillId="3" borderId="13" xfId="4" applyNumberFormat="1" applyBorder="1" applyAlignment="1">
      <alignment vertical="center"/>
    </xf>
    <xf numFmtId="0" fontId="10" fillId="0" borderId="14" xfId="2" applyFont="1" applyBorder="1" applyAlignment="1">
      <alignment vertical="center"/>
    </xf>
    <xf numFmtId="164" fontId="1" fillId="3" borderId="15" xfId="4" applyNumberFormat="1" applyBorder="1" applyAlignment="1">
      <alignment vertical="center"/>
    </xf>
    <xf numFmtId="0" fontId="10" fillId="0" borderId="11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0" fillId="0" borderId="15" xfId="2" applyFont="1" applyBorder="1" applyAlignment="1">
      <alignment vertical="center"/>
    </xf>
    <xf numFmtId="0" fontId="10" fillId="0" borderId="9" xfId="0" applyFont="1" applyBorder="1"/>
    <xf numFmtId="167" fontId="1" fillId="3" borderId="9" xfId="4" applyNumberFormat="1" applyBorder="1"/>
    <xf numFmtId="0" fontId="8" fillId="0" borderId="0" xfId="2" applyFont="1" applyAlignment="1">
      <alignment horizontal="right"/>
    </xf>
    <xf numFmtId="0" fontId="11" fillId="2" borderId="1" xfId="2" applyFont="1" applyFill="1" applyBorder="1"/>
    <xf numFmtId="0" fontId="11" fillId="2" borderId="4" xfId="2" applyFont="1" applyFill="1" applyBorder="1"/>
    <xf numFmtId="0" fontId="11" fillId="2" borderId="6" xfId="2" applyFont="1" applyFill="1" applyBorder="1"/>
  </cellXfs>
  <cellStyles count="5">
    <cellStyle name="40 % - Accent4" xfId="4" builtinId="43"/>
    <cellStyle name="Euro" xfId="1" xr:uid="{00000000-0005-0000-0000-000001000000}"/>
    <cellStyle name="Milliers" xfId="3" builtinId="3"/>
    <cellStyle name="Normal" xfId="0" builtinId="0"/>
    <cellStyle name="Normal_Classeur3" xfId="2" xr:uid="{00000000-0005-0000-0000-000004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501804</xdr:colOff>
      <xdr:row>3</xdr:row>
      <xdr:rowOff>102298</xdr:rowOff>
    </xdr:from>
    <xdr:to>
      <xdr:col>2</xdr:col>
      <xdr:colOff>709960</xdr:colOff>
      <xdr:row>9</xdr:row>
      <xdr:rowOff>104776</xdr:rowOff>
    </xdr:to>
    <xdr:pic>
      <xdr:nvPicPr>
        <xdr:cNvPr id="1027" name="Picture 3" descr="bd06662_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854" y="588073"/>
          <a:ext cx="1389256" cy="983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66675</xdr:colOff>
      <xdr:row>0</xdr:row>
      <xdr:rowOff>26486</xdr:rowOff>
    </xdr:from>
    <xdr:ext cx="4833890" cy="84029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675" y="26486"/>
          <a:ext cx="4833890" cy="840290"/>
        </a:xfrm>
        <a:prstGeom prst="rect">
          <a:avLst/>
        </a:prstGeom>
        <a:noFill/>
      </xdr:spPr>
      <xdr:txBody>
        <a:bodyPr wrap="none" lIns="91440" tIns="45720" rIns="91440" bIns="45720">
          <a:prstTxWarp prst="textCanUp">
            <a:avLst>
              <a:gd name="adj" fmla="val 66667"/>
            </a:avLst>
          </a:prstTxWarp>
          <a:sp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algn="ctr"/>
          <a:r>
            <a:rPr lang="fr-FR" sz="5400" b="1" cap="none" spc="0">
              <a:ln>
                <a:prstDash val="solid"/>
              </a:ln>
              <a:gradFill rotWithShape="1">
                <a:gsLst>
                  <a:gs pos="0">
                    <a:schemeClr val="accent4">
                      <a:tint val="70000"/>
                      <a:satMod val="200000"/>
                    </a:schemeClr>
                  </a:gs>
                  <a:gs pos="40000">
                    <a:schemeClr val="accent4">
                      <a:tint val="90000"/>
                      <a:satMod val="130000"/>
                    </a:schemeClr>
                  </a:gs>
                  <a:gs pos="50000">
                    <a:schemeClr val="accent4">
                      <a:tint val="90000"/>
                      <a:satMod val="130000"/>
                    </a:schemeClr>
                  </a:gs>
                  <a:gs pos="68000">
                    <a:schemeClr val="accent4">
                      <a:tint val="90000"/>
                      <a:satMod val="130000"/>
                    </a:schemeClr>
                  </a:gs>
                  <a:gs pos="100000">
                    <a:schemeClr val="accent4">
                      <a:tint val="70000"/>
                      <a:satMod val="200000"/>
                    </a:schemeClr>
                  </a:gs>
                </a:gsLst>
                <a:lin ang="5400000"/>
              </a:gradFill>
              <a:effectLst>
                <a:outerShdw blurRad="88000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</a:rPr>
            <a:t>La ronde des jouets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24:E34" totalsRowShown="0" headerRowDxfId="5" headerRowCellStyle="Normal_Classeur3">
  <tableColumns count="5">
    <tableColumn id="1" xr3:uid="{00000000-0010-0000-0000-000001000000}" name="Code Article" dataDxfId="4" dataCellStyle="Normal_Classeur3"/>
    <tableColumn id="2" xr3:uid="{00000000-0010-0000-0000-000002000000}" name="Désignation" dataDxfId="3" dataCellStyle="Normal_Classeur3"/>
    <tableColumn id="3" xr3:uid="{00000000-0010-0000-0000-000003000000}" name="Prix unitaire" dataDxfId="2" dataCellStyle="Milliers"/>
    <tableColumn id="4" xr3:uid="{00000000-0010-0000-0000-000004000000}" name="Qtés" dataDxfId="1" dataCellStyle="Milliers"/>
    <tableColumn id="5" xr3:uid="{00000000-0010-0000-0000-000005000000}" name="Total" dataDxfId="0" dataCellStyle="Millier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/>
  </sheetViews>
  <sheetFormatPr baseColWidth="10" defaultRowHeight="13.2" x14ac:dyDescent="0.25"/>
  <cols>
    <col min="1" max="1" width="14" customWidth="1"/>
    <col min="2" max="2" width="20.88671875" customWidth="1"/>
    <col min="3" max="3" width="16.109375" customWidth="1"/>
    <col min="4" max="4" width="12.5546875" customWidth="1"/>
    <col min="5" max="5" width="16.10937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ht="13.8" thickBot="1" x14ac:dyDescent="0.3">
      <c r="A9" s="1"/>
      <c r="B9" s="1"/>
      <c r="C9" s="1"/>
      <c r="D9" s="1"/>
      <c r="E9" s="1"/>
      <c r="F9" s="1"/>
      <c r="G9" s="1"/>
    </row>
    <row r="10" spans="1:7" ht="21" customHeight="1" thickTop="1" x14ac:dyDescent="0.45">
      <c r="A10" s="1"/>
      <c r="B10" s="1"/>
      <c r="D10" s="31" t="s">
        <v>13</v>
      </c>
      <c r="E10" s="4"/>
      <c r="F10" s="5"/>
      <c r="G10" s="2"/>
    </row>
    <row r="11" spans="1:7" ht="21" customHeight="1" x14ac:dyDescent="0.45">
      <c r="A11" s="1"/>
      <c r="B11" s="1"/>
      <c r="D11" s="32" t="s">
        <v>0</v>
      </c>
      <c r="E11" s="6"/>
      <c r="F11" s="7"/>
      <c r="G11" s="2"/>
    </row>
    <row r="12" spans="1:7" ht="21" customHeight="1" thickBot="1" x14ac:dyDescent="0.5">
      <c r="A12" s="1"/>
      <c r="B12" s="1"/>
      <c r="D12" s="33" t="s">
        <v>23</v>
      </c>
      <c r="E12" s="8"/>
      <c r="F12" s="9"/>
      <c r="G12" s="2"/>
    </row>
    <row r="13" spans="1:7" ht="13.8" thickTop="1" x14ac:dyDescent="0.25">
      <c r="A13" s="1"/>
      <c r="B13" s="1"/>
      <c r="C13" s="1"/>
      <c r="D13" s="1"/>
      <c r="E13" s="2"/>
      <c r="F13" s="2"/>
      <c r="G13" s="2"/>
    </row>
    <row r="14" spans="1:7" x14ac:dyDescent="0.25">
      <c r="A14" s="1"/>
      <c r="B14" s="1"/>
      <c r="C14" s="1"/>
      <c r="D14" s="1"/>
      <c r="E14" s="2"/>
      <c r="F14" s="2"/>
      <c r="G14" s="2"/>
    </row>
    <row r="15" spans="1:7" x14ac:dyDescent="0.25">
      <c r="A15" s="1"/>
      <c r="B15" s="1"/>
      <c r="C15" s="1"/>
      <c r="D15" s="1"/>
      <c r="E15" s="2"/>
      <c r="F15" s="2"/>
      <c r="G15" s="2"/>
    </row>
    <row r="16" spans="1:7" x14ac:dyDescent="0.25">
      <c r="A16" s="1"/>
      <c r="B16" s="1"/>
      <c r="C16" s="1"/>
      <c r="D16" s="1"/>
      <c r="E16" s="2"/>
      <c r="F16" s="2"/>
      <c r="G16" s="2"/>
    </row>
    <row r="17" spans="1:7" ht="15.6" x14ac:dyDescent="0.3">
      <c r="A17" s="10" t="s">
        <v>1</v>
      </c>
      <c r="B17" s="11"/>
      <c r="C17" s="30" t="s">
        <v>15</v>
      </c>
      <c r="D17" s="1"/>
      <c r="E17" s="1"/>
      <c r="F17" s="1"/>
      <c r="G17" s="1"/>
    </row>
    <row r="18" spans="1:7" ht="15.6" x14ac:dyDescent="0.3">
      <c r="A18" s="10" t="s">
        <v>2</v>
      </c>
      <c r="B18" s="11"/>
      <c r="C18" s="12">
        <v>41065</v>
      </c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2"/>
      <c r="B21" s="2"/>
      <c r="C21" s="1"/>
      <c r="D21" s="1"/>
      <c r="E21" s="1"/>
      <c r="F21" s="1"/>
      <c r="G21" s="1"/>
    </row>
    <row r="22" spans="1:7" x14ac:dyDescent="0.25">
      <c r="A22" s="2"/>
      <c r="B22" s="2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ht="24.75" customHeight="1" x14ac:dyDescent="0.25">
      <c r="A24" s="18" t="s">
        <v>3</v>
      </c>
      <c r="B24" s="18" t="s">
        <v>14</v>
      </c>
      <c r="C24" s="18" t="s">
        <v>21</v>
      </c>
      <c r="D24" s="18" t="s">
        <v>4</v>
      </c>
      <c r="E24" s="18" t="s">
        <v>22</v>
      </c>
      <c r="G24" s="1"/>
    </row>
    <row r="25" spans="1:7" ht="17.25" customHeight="1" x14ac:dyDescent="0.25">
      <c r="A25" s="15" t="s">
        <v>16</v>
      </c>
      <c r="B25" s="15" t="s">
        <v>9</v>
      </c>
      <c r="C25" s="16">
        <v>22.99</v>
      </c>
      <c r="D25" s="17">
        <v>17</v>
      </c>
      <c r="E25" s="16">
        <f>C25*D25</f>
        <v>390.83</v>
      </c>
      <c r="G25" s="1"/>
    </row>
    <row r="26" spans="1:7" ht="17.25" customHeight="1" x14ac:dyDescent="0.25">
      <c r="A26" s="15" t="s">
        <v>17</v>
      </c>
      <c r="B26" s="15" t="s">
        <v>10</v>
      </c>
      <c r="C26" s="16">
        <v>8.9499999999999993</v>
      </c>
      <c r="D26" s="17">
        <v>12</v>
      </c>
      <c r="E26" s="16">
        <f>C26*D26</f>
        <v>107.39999999999999</v>
      </c>
      <c r="G26" s="1"/>
    </row>
    <row r="27" spans="1:7" ht="17.25" customHeight="1" x14ac:dyDescent="0.25">
      <c r="A27" s="15" t="s">
        <v>18</v>
      </c>
      <c r="B27" s="15" t="s">
        <v>12</v>
      </c>
      <c r="C27" s="16">
        <v>17.5</v>
      </c>
      <c r="D27" s="17">
        <v>7</v>
      </c>
      <c r="E27" s="16">
        <f>C27*D27</f>
        <v>122.5</v>
      </c>
      <c r="G27" s="1"/>
    </row>
    <row r="28" spans="1:7" ht="17.25" customHeight="1" x14ac:dyDescent="0.25">
      <c r="A28" s="15" t="s">
        <v>19</v>
      </c>
      <c r="B28" s="15" t="s">
        <v>11</v>
      </c>
      <c r="C28" s="16">
        <v>7.25</v>
      </c>
      <c r="D28" s="17">
        <v>9</v>
      </c>
      <c r="E28" s="16">
        <f>C28*D28</f>
        <v>65.25</v>
      </c>
      <c r="G28" s="1"/>
    </row>
    <row r="29" spans="1:7" ht="17.25" customHeight="1" x14ac:dyDescent="0.25">
      <c r="A29" s="15"/>
      <c r="B29" s="15" t="s">
        <v>20</v>
      </c>
      <c r="C29" s="16"/>
      <c r="D29" s="17"/>
      <c r="E29" s="16"/>
      <c r="G29" s="1"/>
    </row>
    <row r="30" spans="1:7" ht="17.25" customHeight="1" x14ac:dyDescent="0.25">
      <c r="A30" s="15"/>
      <c r="B30" s="15" t="s">
        <v>20</v>
      </c>
      <c r="C30" s="16"/>
      <c r="D30" s="17"/>
      <c r="E30" s="16"/>
      <c r="G30" s="1"/>
    </row>
    <row r="31" spans="1:7" ht="17.25" customHeight="1" x14ac:dyDescent="0.25">
      <c r="A31" s="15"/>
      <c r="B31" s="15" t="s">
        <v>20</v>
      </c>
      <c r="C31" s="16"/>
      <c r="D31" s="17"/>
      <c r="E31" s="16"/>
      <c r="G31" s="1"/>
    </row>
    <row r="32" spans="1:7" ht="17.25" customHeight="1" x14ac:dyDescent="0.25">
      <c r="A32" s="15"/>
      <c r="B32" s="15" t="s">
        <v>20</v>
      </c>
      <c r="C32" s="16"/>
      <c r="D32" s="17"/>
      <c r="E32" s="16"/>
      <c r="G32" s="1"/>
    </row>
    <row r="33" spans="1:7" ht="17.25" customHeight="1" x14ac:dyDescent="0.25">
      <c r="A33" s="15"/>
      <c r="B33" s="15" t="s">
        <v>20</v>
      </c>
      <c r="C33" s="16"/>
      <c r="D33" s="17"/>
      <c r="E33" s="16"/>
      <c r="G33" s="1"/>
    </row>
    <row r="34" spans="1:7" ht="17.25" customHeight="1" x14ac:dyDescent="0.25">
      <c r="A34" s="15"/>
      <c r="B34" s="15" t="s">
        <v>20</v>
      </c>
      <c r="C34" s="16"/>
      <c r="D34" s="17"/>
      <c r="E34" s="16"/>
      <c r="G34" s="1"/>
    </row>
    <row r="35" spans="1:7" ht="14.4" x14ac:dyDescent="0.25">
      <c r="A35" s="15"/>
      <c r="B35" s="15"/>
      <c r="C35" s="15"/>
      <c r="D35" s="15"/>
      <c r="E35" s="15"/>
      <c r="F35" s="1"/>
      <c r="G35" s="1"/>
    </row>
    <row r="36" spans="1:7" ht="14.4" x14ac:dyDescent="0.25">
      <c r="A36" s="15"/>
      <c r="B36" s="15"/>
      <c r="C36" s="15"/>
      <c r="D36" s="15"/>
      <c r="E36" s="15"/>
      <c r="F36" s="1"/>
      <c r="G36" s="1"/>
    </row>
    <row r="37" spans="1:7" ht="19.5" customHeight="1" x14ac:dyDescent="0.25">
      <c r="A37" s="15"/>
      <c r="B37" s="15"/>
      <c r="C37" s="19" t="s">
        <v>5</v>
      </c>
      <c r="D37" s="25"/>
      <c r="E37" s="20">
        <f>SUM(E25:E34)</f>
        <v>685.98</v>
      </c>
      <c r="F37" s="3"/>
      <c r="G37" s="1"/>
    </row>
    <row r="38" spans="1:7" ht="19.5" customHeight="1" x14ac:dyDescent="0.25">
      <c r="A38" s="15"/>
      <c r="B38" s="15"/>
      <c r="C38" s="21" t="s">
        <v>6</v>
      </c>
      <c r="D38" s="26"/>
      <c r="E38" s="22">
        <f>IF(E37&lt;200,0%,IF(E37&lt;400,5%,IF(E37&lt;700,10%,15%)))</f>
        <v>0.1</v>
      </c>
      <c r="F38" s="3"/>
      <c r="G38" s="1"/>
    </row>
    <row r="39" spans="1:7" ht="19.5" customHeight="1" x14ac:dyDescent="0.25">
      <c r="A39" s="15"/>
      <c r="B39" s="15"/>
      <c r="C39" s="23" t="s">
        <v>7</v>
      </c>
      <c r="D39" s="27"/>
      <c r="E39" s="24">
        <f>E37-(E37*E38)</f>
        <v>617.38200000000006</v>
      </c>
      <c r="F39" s="3"/>
      <c r="G39" s="1"/>
    </row>
    <row r="40" spans="1:7" ht="14.4" x14ac:dyDescent="0.3">
      <c r="A40" s="13"/>
      <c r="B40" s="13"/>
      <c r="C40" s="13"/>
      <c r="D40" s="13"/>
      <c r="E40" s="14"/>
      <c r="F40" s="3"/>
      <c r="G40" s="1"/>
    </row>
    <row r="41" spans="1:7" ht="14.4" x14ac:dyDescent="0.3">
      <c r="A41" s="13"/>
      <c r="B41" s="13"/>
      <c r="C41" s="13"/>
      <c r="D41" s="13"/>
      <c r="E41" s="14"/>
      <c r="F41" s="3"/>
      <c r="G41" s="1"/>
    </row>
    <row r="42" spans="1:7" ht="14.4" x14ac:dyDescent="0.3">
      <c r="A42" s="28" t="s">
        <v>8</v>
      </c>
      <c r="B42" s="28"/>
      <c r="C42" s="29">
        <v>41090</v>
      </c>
      <c r="D42" s="13"/>
      <c r="E42" s="13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Facture</vt:lpstr>
      <vt:lpstr>Feuil2</vt:lpstr>
      <vt:lpstr>Feuil3</vt:lpstr>
    </vt:vector>
  </TitlesOfParts>
  <Company>ENI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AKOSSI G  JEAN PHILIPPE</cp:lastModifiedBy>
  <cp:lastPrinted>1999-12-22T08:32:57Z</cp:lastPrinted>
  <dcterms:created xsi:type="dcterms:W3CDTF">1999-12-22T08:19:46Z</dcterms:created>
  <dcterms:modified xsi:type="dcterms:W3CDTF">2026-08-09T20:26:10Z</dcterms:modified>
</cp:coreProperties>
</file>
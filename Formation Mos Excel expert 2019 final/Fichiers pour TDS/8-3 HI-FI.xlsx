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ormation Mos Excel expert 2019\Fichiers pour TDS\"/>
    </mc:Choice>
  </mc:AlternateContent>
  <xr:revisionPtr revIDLastSave="0" documentId="8_{7EA489F6-D69B-4D0A-9793-567668422707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Janvier" sheetId="3" r:id="rId1"/>
    <sheet name="Février" sheetId="1" r:id="rId2"/>
    <sheet name="Mars" sheetId="5" r:id="rId3"/>
    <sheet name="Trim1" sheetId="6" r:id="rId4"/>
    <sheet name="Feuil1" sheetId="7" r:id="rId5"/>
  </sheets>
  <calcPr calcId="191029" iterate="1" iterateCount="8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E10" i="6"/>
  <c r="E11" i="6"/>
  <c r="E12" i="6"/>
  <c r="E13" i="6"/>
  <c r="E14" i="6"/>
  <c r="E15" i="6"/>
  <c r="E16" i="6"/>
  <c r="E17" i="6"/>
  <c r="E18" i="6"/>
  <c r="E19" i="6"/>
  <c r="E8" i="6"/>
  <c r="D19" i="6" l="1"/>
  <c r="D18" i="6"/>
  <c r="D17" i="6"/>
  <c r="D16" i="6"/>
  <c r="D15" i="6"/>
  <c r="D14" i="6"/>
  <c r="D13" i="6"/>
  <c r="D12" i="6"/>
  <c r="D11" i="6"/>
  <c r="D10" i="6"/>
  <c r="D9" i="6"/>
  <c r="D8" i="6"/>
  <c r="C19" i="6"/>
  <c r="F19" i="6" s="1"/>
  <c r="C18" i="6"/>
  <c r="F18" i="6" s="1"/>
  <c r="C17" i="6"/>
  <c r="F17" i="6" s="1"/>
  <c r="C16" i="6"/>
  <c r="F16" i="6" s="1"/>
  <c r="C15" i="6"/>
  <c r="F15" i="6" s="1"/>
  <c r="C14" i="6"/>
  <c r="F14" i="6" s="1"/>
  <c r="C13" i="6"/>
  <c r="F13" i="6" s="1"/>
  <c r="C12" i="6"/>
  <c r="F12" i="6" s="1"/>
  <c r="C11" i="6"/>
  <c r="F11" i="6" s="1"/>
  <c r="C10" i="6"/>
  <c r="F10" i="6" s="1"/>
  <c r="C9" i="6"/>
  <c r="F9" i="6" s="1"/>
  <c r="C8" i="6"/>
  <c r="F8" i="6" s="1"/>
  <c r="E20" i="6"/>
  <c r="D20" i="6"/>
  <c r="C20" i="6"/>
  <c r="E20" i="5"/>
  <c r="D20" i="5"/>
  <c r="C20" i="5"/>
  <c r="F19" i="5"/>
  <c r="F18" i="5"/>
  <c r="F17" i="5"/>
  <c r="F16" i="5"/>
  <c r="F15" i="5"/>
  <c r="F14" i="5"/>
  <c r="F13" i="5"/>
  <c r="F12" i="5"/>
  <c r="F11" i="5"/>
  <c r="F10" i="5"/>
  <c r="F9" i="5"/>
  <c r="F8" i="5"/>
  <c r="E20" i="3"/>
  <c r="D20" i="3"/>
  <c r="C20" i="3"/>
  <c r="F19" i="3"/>
  <c r="J19" i="3" s="1"/>
  <c r="F18" i="3"/>
  <c r="J18" i="3" s="1"/>
  <c r="F17" i="3"/>
  <c r="J17" i="3" s="1"/>
  <c r="F16" i="3"/>
  <c r="J16" i="3" s="1"/>
  <c r="F15" i="3"/>
  <c r="J15" i="3" s="1"/>
  <c r="F14" i="3"/>
  <c r="J14" i="3" s="1"/>
  <c r="F13" i="3"/>
  <c r="J13" i="3" s="1"/>
  <c r="F12" i="3"/>
  <c r="J12" i="3" s="1"/>
  <c r="F11" i="3"/>
  <c r="J11" i="3" s="1"/>
  <c r="F10" i="3"/>
  <c r="J10" i="3" s="1"/>
  <c r="F9" i="3"/>
  <c r="J9" i="3" s="1"/>
  <c r="F8" i="3"/>
  <c r="C23" i="6" l="1"/>
  <c r="F20" i="6"/>
  <c r="J19" i="5"/>
  <c r="I19" i="5"/>
  <c r="J18" i="5"/>
  <c r="I18" i="5"/>
  <c r="I17" i="5"/>
  <c r="J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8" i="5"/>
  <c r="C29" i="5"/>
  <c r="I8" i="5"/>
  <c r="E31" i="5" s="1"/>
  <c r="B27" i="5"/>
  <c r="F20" i="3"/>
  <c r="H20" i="3" s="1"/>
  <c r="J8" i="3"/>
  <c r="J20" i="3" s="1"/>
  <c r="C30" i="5"/>
  <c r="J9" i="5"/>
  <c r="J20" i="5" s="1"/>
  <c r="I9" i="5"/>
  <c r="B26" i="5"/>
  <c r="B25" i="5"/>
  <c r="F20" i="5"/>
  <c r="G20" i="5"/>
  <c r="G8" i="5"/>
  <c r="H8" i="5"/>
  <c r="G9" i="5"/>
  <c r="H9" i="5"/>
  <c r="G10" i="5"/>
  <c r="H10" i="5"/>
  <c r="G11" i="5"/>
  <c r="H11" i="5"/>
  <c r="G12" i="5"/>
  <c r="H12" i="5"/>
  <c r="G13" i="5"/>
  <c r="G14" i="5"/>
  <c r="G15" i="5"/>
  <c r="G16" i="5"/>
  <c r="G17" i="5"/>
  <c r="G18" i="5"/>
  <c r="G19" i="5"/>
  <c r="G20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H20" i="5" l="1"/>
  <c r="H13" i="5"/>
  <c r="H14" i="5"/>
  <c r="H15" i="5"/>
  <c r="H16" i="5"/>
  <c r="H17" i="5"/>
  <c r="H18" i="5"/>
  <c r="H19" i="5"/>
  <c r="I23" i="5"/>
  <c r="I22" i="5"/>
  <c r="I23" i="3"/>
  <c r="I22" i="3"/>
  <c r="D20" i="1"/>
  <c r="E20" i="1"/>
  <c r="C20" i="1"/>
  <c r="F8" i="1"/>
  <c r="F9" i="1"/>
  <c r="F10" i="1"/>
  <c r="F11" i="1"/>
  <c r="F12" i="1"/>
  <c r="F13" i="1"/>
  <c r="F14" i="1"/>
  <c r="F15" i="1"/>
  <c r="F16" i="1"/>
  <c r="F17" i="1"/>
  <c r="F18" i="1"/>
  <c r="F19" i="1"/>
  <c r="I8" i="1" l="1"/>
  <c r="J8" i="1"/>
  <c r="G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G8" i="1"/>
  <c r="G10" i="1"/>
  <c r="G11" i="1"/>
  <c r="G12" i="1"/>
  <c r="G13" i="1"/>
  <c r="G14" i="1"/>
  <c r="G15" i="1"/>
  <c r="G16" i="1"/>
  <c r="G17" i="1"/>
  <c r="G18" i="1"/>
  <c r="G19" i="1"/>
  <c r="I9" i="1"/>
  <c r="I22" i="1" s="1"/>
  <c r="I23" i="1"/>
  <c r="F20" i="1"/>
  <c r="H20" i="1" s="1"/>
  <c r="J20" i="1"/>
  <c r="H18" i="1" l="1"/>
  <c r="H10" i="1"/>
  <c r="H9" i="1"/>
  <c r="H14" i="1"/>
  <c r="H17" i="1"/>
  <c r="H15" i="1"/>
  <c r="H16" i="1"/>
  <c r="H12" i="1"/>
  <c r="H8" i="1"/>
  <c r="H13" i="1"/>
  <c r="H11" i="1"/>
  <c r="H19" i="1"/>
  <c r="G20" i="1"/>
</calcChain>
</file>

<file path=xl/sharedStrings.xml><?xml version="1.0" encoding="utf-8"?>
<sst xmlns="http://schemas.openxmlformats.org/spreadsheetml/2006/main" count="161" uniqueCount="41">
  <si>
    <t xml:space="preserve"> </t>
  </si>
  <si>
    <t>Vidéo</t>
  </si>
  <si>
    <t>Micro</t>
  </si>
  <si>
    <t>TOTAL</t>
  </si>
  <si>
    <t>Tableau réalisé le :</t>
  </si>
  <si>
    <t>Hi-fi</t>
  </si>
  <si>
    <t>Commission</t>
  </si>
  <si>
    <t>Objectif</t>
  </si>
  <si>
    <t>Répartition
du CA</t>
  </si>
  <si>
    <t>Moyenne du CA</t>
  </si>
  <si>
    <t>Objectif atteint :</t>
  </si>
  <si>
    <t>Objectif non atteint :</t>
  </si>
  <si>
    <t>Ville</t>
  </si>
  <si>
    <t>Beaudu Sophie</t>
  </si>
  <si>
    <t>Dupré Dominique</t>
  </si>
  <si>
    <t>Guy Corinne</t>
  </si>
  <si>
    <t>Martinet Antoine</t>
  </si>
  <si>
    <t>Huchet Nicolas</t>
  </si>
  <si>
    <t>Blouin Nathalie</t>
  </si>
  <si>
    <t>Toussin Paul</t>
  </si>
  <si>
    <t>Le Parc Jean</t>
  </si>
  <si>
    <t>Pilat Lionel</t>
  </si>
  <si>
    <t>CHIFFRE D'AFFAIRES RÉALISÉ RÉGION OUEST</t>
  </si>
  <si>
    <t>Pierre Lucat</t>
  </si>
  <si>
    <t>Christine Mandart</t>
  </si>
  <si>
    <t>Lucie Gendron</t>
  </si>
  <si>
    <t>NANTES</t>
  </si>
  <si>
    <t>ANGERS</t>
  </si>
  <si>
    <t>RENNES</t>
  </si>
  <si>
    <t>JANVIER 2012</t>
  </si>
  <si>
    <t>CHIFFRE D'AFFAIRES  RÉGION OUEST</t>
  </si>
  <si>
    <t>FÉVRIER 2012</t>
  </si>
  <si>
    <t>TRIMESTRE 1</t>
  </si>
  <si>
    <t>Moyenne des CA</t>
  </si>
  <si>
    <t>CA maximum</t>
  </si>
  <si>
    <t>CA minimum</t>
  </si>
  <si>
    <t>Somme CA  Nantes + objetctif atteint + commistion &gt; à 1300</t>
  </si>
  <si>
    <t>CA moyen des vendeurs d'Angers</t>
  </si>
  <si>
    <t>Nbre vendeurs Nantes CA &gt;= 100000</t>
  </si>
  <si>
    <t>Nombre de vendeurs</t>
  </si>
  <si>
    <t>MARS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</si>
</sst>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F&quot;_-;\-* #,##0.00\ &quot;F&quot;_-;_-* &quot;-&quot;??\ &quot;F&quot;_-;_-@_-"/>
    <numFmt numFmtId="165" formatCode="_-* #,##0.00\ _F_-;\-* #,##0.00\ _F_-;_-* &quot;-&quot;??\ _F_-;_-@_-"/>
    <numFmt numFmtId="166" formatCode="#,##0.00\ _€"/>
    <numFmt numFmtId="167" formatCode="_-* #,##0\ _F_-;\-* #,##0\ _F_-;_-* &quot;-&quot;??\ _F_-;_-@_-"/>
    <numFmt numFmtId="168" formatCode="#,##0\ _€"/>
  </numFmts>
  <fonts count="12" x14ac:knownFonts="1"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Berlin Sans FB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49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2" applyNumberFormat="1" applyFont="1" applyFill="1" applyBorder="1"/>
    <xf numFmtId="0" fontId="5" fillId="0" borderId="0" xfId="3" applyNumberFormat="1" applyFont="1" applyFill="1" applyBorder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37" fontId="4" fillId="4" borderId="2" xfId="1" applyNumberFormat="1" applyFont="1" applyFill="1" applyBorder="1" applyAlignment="1">
      <alignment vertical="center"/>
    </xf>
    <xf numFmtId="37" fontId="4" fillId="5" borderId="2" xfId="1" applyNumberFormat="1" applyFont="1" applyFill="1" applyBorder="1" applyAlignment="1">
      <alignment vertical="center"/>
    </xf>
    <xf numFmtId="0" fontId="3" fillId="2" borderId="0" xfId="4" applyNumberFormat="1" applyBorder="1" applyAlignment="1">
      <alignment vertical="center"/>
    </xf>
    <xf numFmtId="0" fontId="3" fillId="2" borderId="0" xfId="4" applyAlignment="1">
      <alignment vertical="center"/>
    </xf>
    <xf numFmtId="14" fontId="3" fillId="2" borderId="0" xfId="4" applyNumberFormat="1" applyAlignment="1">
      <alignment vertical="center"/>
    </xf>
    <xf numFmtId="0" fontId="2" fillId="3" borderId="0" xfId="5" applyNumberFormat="1" applyFont="1" applyBorder="1" applyAlignment="1">
      <alignment horizontal="center" vertical="center"/>
    </xf>
    <xf numFmtId="0" fontId="2" fillId="3" borderId="0" xfId="5" applyFont="1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 wrapText="1"/>
    </xf>
    <xf numFmtId="37" fontId="11" fillId="4" borderId="5" xfId="1" applyNumberFormat="1" applyFont="1" applyFill="1" applyBorder="1" applyAlignment="1">
      <alignment horizontal="center" vertical="center"/>
    </xf>
    <xf numFmtId="37" fontId="11" fillId="4" borderId="5" xfId="1" quotePrefix="1" applyNumberFormat="1" applyFont="1" applyFill="1" applyBorder="1" applyAlignment="1">
      <alignment horizontal="center" vertical="center"/>
    </xf>
    <xf numFmtId="167" fontId="2" fillId="3" borderId="0" xfId="1" applyNumberFormat="1" applyFont="1" applyFill="1" applyBorder="1" applyAlignment="1">
      <alignment horizontal="left" vertical="center"/>
    </xf>
    <xf numFmtId="0" fontId="9" fillId="4" borderId="4" xfId="0" applyFont="1" applyFill="1" applyBorder="1"/>
    <xf numFmtId="0" fontId="9" fillId="4" borderId="2" xfId="0" applyFont="1" applyFill="1" applyBorder="1" applyAlignment="1">
      <alignment horizontal="center"/>
    </xf>
    <xf numFmtId="37" fontId="4" fillId="4" borderId="2" xfId="1" applyNumberFormat="1" applyFont="1" applyFill="1" applyBorder="1" applyAlignment="1"/>
    <xf numFmtId="166" fontId="4" fillId="4" borderId="2" xfId="1" applyNumberFormat="1" applyFont="1" applyFill="1" applyBorder="1" applyAlignment="1"/>
    <xf numFmtId="9" fontId="4" fillId="4" borderId="2" xfId="3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9" fillId="5" borderId="4" xfId="0" applyFont="1" applyFill="1" applyBorder="1"/>
    <xf numFmtId="0" fontId="9" fillId="5" borderId="2" xfId="0" applyFont="1" applyFill="1" applyBorder="1" applyAlignment="1">
      <alignment horizontal="center"/>
    </xf>
    <xf numFmtId="37" fontId="4" fillId="5" borderId="2" xfId="1" applyNumberFormat="1" applyFont="1" applyFill="1" applyBorder="1" applyAlignment="1"/>
    <xf numFmtId="166" fontId="4" fillId="5" borderId="2" xfId="1" applyNumberFormat="1" applyFont="1" applyFill="1" applyBorder="1" applyAlignment="1"/>
    <xf numFmtId="9" fontId="4" fillId="5" borderId="2" xfId="3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0" fillId="4" borderId="4" xfId="0" applyFont="1" applyFill="1" applyBorder="1" applyAlignment="1">
      <alignment wrapText="1"/>
    </xf>
    <xf numFmtId="0" fontId="10" fillId="4" borderId="2" xfId="0" applyFont="1" applyFill="1" applyBorder="1" applyAlignment="1">
      <alignment wrapText="1"/>
    </xf>
    <xf numFmtId="166" fontId="4" fillId="4" borderId="2" xfId="2" applyNumberFormat="1" applyFont="1" applyFill="1" applyBorder="1" applyAlignment="1"/>
    <xf numFmtId="0" fontId="4" fillId="4" borderId="2" xfId="3" applyNumberFormat="1" applyFont="1" applyFill="1" applyBorder="1" applyAlignment="1">
      <alignment horizontal="center"/>
    </xf>
    <xf numFmtId="37" fontId="4" fillId="4" borderId="2" xfId="0" applyNumberFormat="1" applyFont="1" applyFill="1" applyBorder="1"/>
    <xf numFmtId="167" fontId="4" fillId="4" borderId="2" xfId="1" applyNumberFormat="1" applyFont="1" applyFill="1" applyBorder="1" applyAlignment="1"/>
    <xf numFmtId="167" fontId="4" fillId="5" borderId="2" xfId="1" applyNumberFormat="1" applyFont="1" applyFill="1" applyBorder="1" applyAlignment="1"/>
    <xf numFmtId="168" fontId="4" fillId="4" borderId="2" xfId="1" applyNumberFormat="1" applyFont="1" applyFill="1" applyBorder="1" applyAlignment="1"/>
    <xf numFmtId="168" fontId="4" fillId="5" borderId="2" xfId="1" applyNumberFormat="1" applyFont="1" applyFill="1" applyBorder="1" applyAlignment="1"/>
    <xf numFmtId="168" fontId="4" fillId="4" borderId="2" xfId="2" applyNumberFormat="1" applyFont="1" applyFill="1" applyBorder="1" applyAlignment="1"/>
    <xf numFmtId="0" fontId="7" fillId="2" borderId="0" xfId="4" applyFont="1" applyAlignment="1">
      <alignment horizontal="center" vertical="center"/>
    </xf>
  </cellXfs>
  <cellStyles count="6">
    <cellStyle name="40 % - Accent6" xfId="5" builtinId="51"/>
    <cellStyle name="Accent6" xfId="4" builtinId="49"/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628649</xdr:colOff>
      <xdr:row>2</xdr:row>
      <xdr:rowOff>28577</xdr:rowOff>
    </xdr:from>
    <xdr:to>
      <xdr:col>9</xdr:col>
      <xdr:colOff>1079002</xdr:colOff>
      <xdr:row>4</xdr:row>
      <xdr:rowOff>57151</xdr:rowOff>
    </xdr:to>
    <xdr:pic>
      <xdr:nvPicPr>
        <xdr:cNvPr id="7" name="Image 6" descr="C:\Users\Administrateur\AppData\Local\Microsoft\Windows\Temporary Internet Files\Content.IE5\3O4RY3VB\MC900360602[1].wm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599" y="609602"/>
          <a:ext cx="450353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30"/>
  <sheetViews>
    <sheetView tabSelected="1" zoomScaleNormal="100" workbookViewId="0">
      <selection sqref="A1:J1"/>
    </sheetView>
  </sheetViews>
  <sheetFormatPr baseColWidth="10" defaultColWidth="11.44140625" defaultRowHeight="14.4" x14ac:dyDescent="0.3"/>
  <cols>
    <col min="1" max="2" width="18.33203125" style="1" customWidth="1"/>
    <col min="3" max="5" width="11.44140625" style="1" customWidth="1"/>
    <col min="6" max="6" width="14.88671875" style="1" customWidth="1"/>
    <col min="7" max="7" width="19.5546875" style="1" customWidth="1"/>
    <col min="8" max="8" width="19.33203125" style="1" customWidth="1"/>
    <col min="9" max="9" width="23.6640625" style="1" customWidth="1"/>
    <col min="10" max="10" width="16.44140625" style="1" bestFit="1" customWidth="1"/>
    <col min="11" max="16384" width="11.44140625" style="1"/>
  </cols>
  <sheetData>
    <row r="1" spans="1:10" ht="30.75" customHeight="1" x14ac:dyDescent="0.3">
      <c r="A1" s="48" t="s">
        <v>30</v>
      </c>
      <c r="B1" s="48"/>
      <c r="C1" s="48"/>
      <c r="D1" s="48"/>
      <c r="E1" s="48"/>
      <c r="F1" s="48"/>
      <c r="G1" s="48"/>
      <c r="H1" s="48"/>
      <c r="I1" s="48"/>
      <c r="J1" s="48"/>
    </row>
    <row r="4" spans="1:10" ht="21" x14ac:dyDescent="0.3">
      <c r="A4" s="24" t="s">
        <v>29</v>
      </c>
    </row>
    <row r="6" spans="1:10" x14ac:dyDescent="0.3">
      <c r="D6" s="1" t="s">
        <v>0</v>
      </c>
    </row>
    <row r="7" spans="1:10" ht="37.5" customHeight="1" x14ac:dyDescent="0.3">
      <c r="A7" s="19"/>
      <c r="B7" s="7" t="s">
        <v>12</v>
      </c>
      <c r="C7" s="7" t="s">
        <v>5</v>
      </c>
      <c r="D7" s="7" t="s">
        <v>1</v>
      </c>
      <c r="E7" s="7" t="s">
        <v>2</v>
      </c>
      <c r="F7" s="7" t="s">
        <v>3</v>
      </c>
      <c r="G7" s="8" t="s">
        <v>9</v>
      </c>
      <c r="H7" s="8" t="s">
        <v>8</v>
      </c>
      <c r="I7" s="8" t="s">
        <v>7</v>
      </c>
      <c r="J7" s="7" t="s">
        <v>6</v>
      </c>
    </row>
    <row r="8" spans="1:10" ht="15" customHeight="1" x14ac:dyDescent="0.3">
      <c r="A8" s="26" t="s">
        <v>13</v>
      </c>
      <c r="B8" s="27" t="s">
        <v>26</v>
      </c>
      <c r="C8" s="43">
        <v>7500</v>
      </c>
      <c r="D8" s="43">
        <v>18400</v>
      </c>
      <c r="E8" s="43">
        <v>41260</v>
      </c>
      <c r="F8" s="43">
        <f>SUM(C8:E8)</f>
        <v>67160</v>
      </c>
      <c r="G8" s="45">
        <f>AVERAGE(C8:F8)</f>
        <v>33580</v>
      </c>
      <c r="H8" s="30">
        <f>F8/$F$20</f>
        <v>7.523345222518954E-2</v>
      </c>
      <c r="I8" s="31" t="str">
        <f>IF(F8&gt;=100000,"Objectif atteint","Objectif non atteint")</f>
        <v>Objectif non atteint</v>
      </c>
      <c r="J8" s="28">
        <f>IF(F8&lt;=100000,F8*0.5%,F8*1%)</f>
        <v>335.8</v>
      </c>
    </row>
    <row r="9" spans="1:10" ht="15" customHeight="1" x14ac:dyDescent="0.3">
      <c r="A9" s="32" t="s">
        <v>14</v>
      </c>
      <c r="B9" s="33" t="s">
        <v>27</v>
      </c>
      <c r="C9" s="44">
        <v>8000</v>
      </c>
      <c r="D9" s="44">
        <v>10300</v>
      </c>
      <c r="E9" s="44">
        <v>12890</v>
      </c>
      <c r="F9" s="44">
        <f t="shared" ref="F9:F19" si="0">SUM(C9:E9)</f>
        <v>31190</v>
      </c>
      <c r="G9" s="46">
        <f t="shared" ref="G9:G20" si="1">AVERAGE(C9:F9)</f>
        <v>15595</v>
      </c>
      <c r="H9" s="36">
        <f t="shared" ref="H9:H20" si="2">F9/$F$20</f>
        <v>3.4939418923520871E-2</v>
      </c>
      <c r="I9" s="37" t="str">
        <f t="shared" ref="I9:I19" si="3">IF(F9&gt;=100000,"Objectif atteint","Objectif non atteint")</f>
        <v>Objectif non atteint</v>
      </c>
      <c r="J9" s="34">
        <f t="shared" ref="J9:J19" si="4">IF(F9&lt;=100000,F9*0.5%,F9*1%)</f>
        <v>155.95000000000002</v>
      </c>
    </row>
    <row r="10" spans="1:10" ht="15" customHeight="1" x14ac:dyDescent="0.3">
      <c r="A10" s="26" t="s">
        <v>15</v>
      </c>
      <c r="B10" s="27" t="s">
        <v>28</v>
      </c>
      <c r="C10" s="43">
        <v>12000</v>
      </c>
      <c r="D10" s="43">
        <v>9800</v>
      </c>
      <c r="E10" s="43">
        <v>46890</v>
      </c>
      <c r="F10" s="43">
        <f t="shared" si="0"/>
        <v>68690</v>
      </c>
      <c r="G10" s="45">
        <f t="shared" si="1"/>
        <v>34345</v>
      </c>
      <c r="H10" s="30">
        <f t="shared" si="2"/>
        <v>7.6947376911082041E-2</v>
      </c>
      <c r="I10" s="31" t="str">
        <f t="shared" si="3"/>
        <v>Objectif non atteint</v>
      </c>
      <c r="J10" s="28">
        <f t="shared" si="4"/>
        <v>343.45</v>
      </c>
    </row>
    <row r="11" spans="1:10" ht="15" customHeight="1" x14ac:dyDescent="0.3">
      <c r="A11" s="32" t="s">
        <v>16</v>
      </c>
      <c r="B11" s="33" t="s">
        <v>26</v>
      </c>
      <c r="C11" s="44">
        <v>12000</v>
      </c>
      <c r="D11" s="44">
        <v>45000</v>
      </c>
      <c r="E11" s="44">
        <v>56230</v>
      </c>
      <c r="F11" s="44">
        <f t="shared" si="0"/>
        <v>113230</v>
      </c>
      <c r="G11" s="46">
        <f t="shared" si="1"/>
        <v>56615</v>
      </c>
      <c r="H11" s="36">
        <f t="shared" si="2"/>
        <v>0.12684162887817468</v>
      </c>
      <c r="I11" s="37" t="str">
        <f t="shared" si="3"/>
        <v>Objectif atteint</v>
      </c>
      <c r="J11" s="34">
        <f t="shared" si="4"/>
        <v>1132.3</v>
      </c>
    </row>
    <row r="12" spans="1:10" ht="15" customHeight="1" x14ac:dyDescent="0.3">
      <c r="A12" s="26" t="s">
        <v>17</v>
      </c>
      <c r="B12" s="27" t="s">
        <v>26</v>
      </c>
      <c r="C12" s="43">
        <v>11250</v>
      </c>
      <c r="D12" s="43">
        <v>25680</v>
      </c>
      <c r="E12" s="43">
        <v>38790</v>
      </c>
      <c r="F12" s="43">
        <f t="shared" si="0"/>
        <v>75720</v>
      </c>
      <c r="G12" s="45">
        <f t="shared" si="1"/>
        <v>37860</v>
      </c>
      <c r="H12" s="30">
        <f t="shared" si="2"/>
        <v>8.4822468768483497E-2</v>
      </c>
      <c r="I12" s="31" t="str">
        <f t="shared" si="3"/>
        <v>Objectif non atteint</v>
      </c>
      <c r="J12" s="28">
        <f t="shared" si="4"/>
        <v>378.6</v>
      </c>
    </row>
    <row r="13" spans="1:10" ht="15" customHeight="1" x14ac:dyDescent="0.3">
      <c r="A13" s="32" t="s">
        <v>18</v>
      </c>
      <c r="B13" s="33" t="s">
        <v>27</v>
      </c>
      <c r="C13" s="44">
        <v>13587</v>
      </c>
      <c r="D13" s="44">
        <v>8700</v>
      </c>
      <c r="E13" s="44">
        <v>62130</v>
      </c>
      <c r="F13" s="44">
        <f t="shared" si="0"/>
        <v>84417</v>
      </c>
      <c r="G13" s="46">
        <f t="shared" si="1"/>
        <v>42208.5</v>
      </c>
      <c r="H13" s="36">
        <f t="shared" si="2"/>
        <v>9.4564954384958683E-2</v>
      </c>
      <c r="I13" s="37" t="str">
        <f t="shared" si="3"/>
        <v>Objectif non atteint</v>
      </c>
      <c r="J13" s="34">
        <f t="shared" si="4"/>
        <v>422.08500000000004</v>
      </c>
    </row>
    <row r="14" spans="1:10" ht="15" customHeight="1" x14ac:dyDescent="0.3">
      <c r="A14" s="26" t="s">
        <v>19</v>
      </c>
      <c r="B14" s="27" t="s">
        <v>27</v>
      </c>
      <c r="C14" s="43">
        <v>11</v>
      </c>
      <c r="D14" s="43">
        <v>35680</v>
      </c>
      <c r="E14" s="43">
        <v>48700</v>
      </c>
      <c r="F14" s="43">
        <f t="shared" si="0"/>
        <v>84391</v>
      </c>
      <c r="G14" s="45">
        <f t="shared" si="1"/>
        <v>42195.5</v>
      </c>
      <c r="H14" s="30">
        <f t="shared" si="2"/>
        <v>9.4535828867420638E-2</v>
      </c>
      <c r="I14" s="31" t="str">
        <f t="shared" si="3"/>
        <v>Objectif non atteint</v>
      </c>
      <c r="J14" s="28">
        <f t="shared" si="4"/>
        <v>421.95499999999998</v>
      </c>
    </row>
    <row r="15" spans="1:10" ht="15" customHeight="1" x14ac:dyDescent="0.3">
      <c r="A15" s="32" t="s">
        <v>20</v>
      </c>
      <c r="B15" s="33" t="s">
        <v>26</v>
      </c>
      <c r="C15" s="44">
        <v>8360</v>
      </c>
      <c r="D15" s="44">
        <v>12850</v>
      </c>
      <c r="E15" s="44">
        <v>14960</v>
      </c>
      <c r="F15" s="44">
        <f t="shared" si="0"/>
        <v>36170</v>
      </c>
      <c r="G15" s="46">
        <f t="shared" si="1"/>
        <v>18085</v>
      </c>
      <c r="H15" s="36">
        <f t="shared" si="2"/>
        <v>4.0518075744268994E-2</v>
      </c>
      <c r="I15" s="37" t="str">
        <f t="shared" si="3"/>
        <v>Objectif non atteint</v>
      </c>
      <c r="J15" s="34">
        <f t="shared" si="4"/>
        <v>180.85</v>
      </c>
    </row>
    <row r="16" spans="1:10" ht="15" customHeight="1" x14ac:dyDescent="0.3">
      <c r="A16" s="26" t="s">
        <v>21</v>
      </c>
      <c r="B16" s="27" t="s">
        <v>28</v>
      </c>
      <c r="C16" s="43">
        <v>13540</v>
      </c>
      <c r="D16" s="43">
        <v>17590</v>
      </c>
      <c r="E16" s="43">
        <v>35900</v>
      </c>
      <c r="F16" s="43">
        <f t="shared" si="0"/>
        <v>67030</v>
      </c>
      <c r="G16" s="45">
        <f t="shared" si="1"/>
        <v>33515</v>
      </c>
      <c r="H16" s="30">
        <f t="shared" si="2"/>
        <v>7.5087824637499329E-2</v>
      </c>
      <c r="I16" s="31" t="str">
        <f t="shared" si="3"/>
        <v>Objectif non atteint</v>
      </c>
      <c r="J16" s="28">
        <f t="shared" si="4"/>
        <v>335.15000000000003</v>
      </c>
    </row>
    <row r="17" spans="1:10" ht="15" customHeight="1" x14ac:dyDescent="0.3">
      <c r="A17" s="32" t="s">
        <v>23</v>
      </c>
      <c r="B17" s="33" t="s">
        <v>28</v>
      </c>
      <c r="C17" s="44">
        <v>11000</v>
      </c>
      <c r="D17" s="44">
        <v>18970</v>
      </c>
      <c r="E17" s="44">
        <v>42150</v>
      </c>
      <c r="F17" s="44">
        <f t="shared" si="0"/>
        <v>72120</v>
      </c>
      <c r="G17" s="46">
        <f t="shared" si="1"/>
        <v>36060</v>
      </c>
      <c r="H17" s="36">
        <f t="shared" si="2"/>
        <v>8.0789704801677631E-2</v>
      </c>
      <c r="I17" s="37" t="str">
        <f t="shared" si="3"/>
        <v>Objectif non atteint</v>
      </c>
      <c r="J17" s="34">
        <f t="shared" si="4"/>
        <v>360.6</v>
      </c>
    </row>
    <row r="18" spans="1:10" ht="15" customHeight="1" x14ac:dyDescent="0.3">
      <c r="A18" s="26" t="s">
        <v>24</v>
      </c>
      <c r="B18" s="27" t="s">
        <v>27</v>
      </c>
      <c r="C18" s="43">
        <v>15800</v>
      </c>
      <c r="D18" s="43">
        <v>38120</v>
      </c>
      <c r="E18" s="43">
        <v>39560</v>
      </c>
      <c r="F18" s="43">
        <f t="shared" si="0"/>
        <v>93480</v>
      </c>
      <c r="G18" s="45">
        <f t="shared" si="1"/>
        <v>46740</v>
      </c>
      <c r="H18" s="30">
        <f t="shared" si="2"/>
        <v>0.10471743767139247</v>
      </c>
      <c r="I18" s="31" t="str">
        <f t="shared" si="3"/>
        <v>Objectif non atteint</v>
      </c>
      <c r="J18" s="28">
        <f t="shared" si="4"/>
        <v>467.40000000000003</v>
      </c>
    </row>
    <row r="19" spans="1:10" ht="15" customHeight="1" x14ac:dyDescent="0.3">
      <c r="A19" s="32" t="s">
        <v>25</v>
      </c>
      <c r="B19" s="33" t="s">
        <v>26</v>
      </c>
      <c r="C19" s="44">
        <v>12000</v>
      </c>
      <c r="D19" s="44">
        <v>24790</v>
      </c>
      <c r="E19" s="44">
        <v>62300</v>
      </c>
      <c r="F19" s="44">
        <f t="shared" si="0"/>
        <v>99090</v>
      </c>
      <c r="G19" s="46">
        <f t="shared" si="1"/>
        <v>49545</v>
      </c>
      <c r="H19" s="36">
        <f t="shared" si="2"/>
        <v>0.11100182818633161</v>
      </c>
      <c r="I19" s="37" t="str">
        <f t="shared" si="3"/>
        <v>Objectif non atteint</v>
      </c>
      <c r="J19" s="34">
        <f t="shared" si="4"/>
        <v>495.45</v>
      </c>
    </row>
    <row r="20" spans="1:10" ht="15" customHeight="1" x14ac:dyDescent="0.3">
      <c r="A20" s="38" t="s">
        <v>3</v>
      </c>
      <c r="B20" s="39"/>
      <c r="C20" s="43">
        <f>SUM(C8:C19)</f>
        <v>125048</v>
      </c>
      <c r="D20" s="43">
        <f t="shared" ref="D20:F20" si="5">SUM(D8:D19)</f>
        <v>265880</v>
      </c>
      <c r="E20" s="43">
        <f t="shared" si="5"/>
        <v>501760</v>
      </c>
      <c r="F20" s="43">
        <f t="shared" si="5"/>
        <v>892688</v>
      </c>
      <c r="G20" s="47">
        <f t="shared" si="1"/>
        <v>446344</v>
      </c>
      <c r="H20" s="30">
        <f t="shared" si="2"/>
        <v>1</v>
      </c>
      <c r="I20" s="41"/>
      <c r="J20" s="42">
        <f>SUM(J8:J19)</f>
        <v>5029.5899999999992</v>
      </c>
    </row>
    <row r="21" spans="1:10" x14ac:dyDescent="0.3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3">
      <c r="C22" s="3"/>
      <c r="D22" s="3"/>
      <c r="E22" s="3"/>
      <c r="F22" s="3"/>
      <c r="H22" s="11" t="s">
        <v>10</v>
      </c>
      <c r="I22" s="14">
        <f>COUNTIF(I8:I19,"Objectif atteint")</f>
        <v>1</v>
      </c>
    </row>
    <row r="23" spans="1:10" x14ac:dyDescent="0.3">
      <c r="A23" s="12" t="s">
        <v>4</v>
      </c>
      <c r="B23" s="12"/>
      <c r="C23" s="13">
        <v>40943</v>
      </c>
      <c r="H23" s="12" t="s">
        <v>11</v>
      </c>
      <c r="I23" s="15">
        <f>COUNTIF(I8:I19,"Objectif non atteint")</f>
        <v>11</v>
      </c>
    </row>
    <row r="25" spans="1:10" x14ac:dyDescent="0.3">
      <c r="D25" s="5"/>
    </row>
    <row r="30" spans="1:10" x14ac:dyDescent="0.3">
      <c r="E30" s="6"/>
    </row>
  </sheetData>
  <mergeCells count="1">
    <mergeCell ref="A1:J1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J30"/>
  <sheetViews>
    <sheetView workbookViewId="0">
      <selection activeCell="H12" sqref="H12"/>
    </sheetView>
  </sheetViews>
  <sheetFormatPr baseColWidth="10" defaultColWidth="11.44140625" defaultRowHeight="14.4" x14ac:dyDescent="0.3"/>
  <cols>
    <col min="1" max="2" width="18.33203125" style="1" customWidth="1"/>
    <col min="3" max="5" width="12.6640625" style="1" customWidth="1"/>
    <col min="6" max="6" width="14.88671875" style="1" customWidth="1"/>
    <col min="7" max="7" width="19.5546875" style="1" customWidth="1"/>
    <col min="8" max="8" width="19.33203125" style="1" customWidth="1"/>
    <col min="9" max="9" width="23.6640625" style="1" customWidth="1"/>
    <col min="10" max="10" width="16.44140625" style="1" bestFit="1" customWidth="1"/>
    <col min="11" max="16384" width="11.44140625" style="1"/>
  </cols>
  <sheetData>
    <row r="1" spans="1:10" ht="30.75" customHeight="1" x14ac:dyDescent="0.3">
      <c r="A1" s="48" t="s">
        <v>22</v>
      </c>
      <c r="B1" s="48"/>
      <c r="C1" s="48"/>
      <c r="D1" s="48"/>
      <c r="E1" s="48"/>
      <c r="F1" s="48"/>
      <c r="G1" s="48"/>
      <c r="H1" s="48"/>
      <c r="I1" s="48"/>
      <c r="J1" s="48"/>
    </row>
    <row r="4" spans="1:10" ht="21" x14ac:dyDescent="0.3">
      <c r="A4" s="24" t="s">
        <v>31</v>
      </c>
    </row>
    <row r="6" spans="1:10" x14ac:dyDescent="0.3">
      <c r="D6" s="1" t="s">
        <v>0</v>
      </c>
    </row>
    <row r="7" spans="1:10" ht="37.5" customHeight="1" x14ac:dyDescent="0.3">
      <c r="A7" s="19"/>
      <c r="B7" s="7" t="s">
        <v>12</v>
      </c>
      <c r="C7" s="7" t="s">
        <v>5</v>
      </c>
      <c r="D7" s="7" t="s">
        <v>1</v>
      </c>
      <c r="E7" s="7" t="s">
        <v>2</v>
      </c>
      <c r="F7" s="7" t="s">
        <v>3</v>
      </c>
      <c r="G7" s="8" t="s">
        <v>9</v>
      </c>
      <c r="H7" s="8" t="s">
        <v>8</v>
      </c>
      <c r="I7" s="8" t="s">
        <v>7</v>
      </c>
      <c r="J7" s="7" t="s">
        <v>6</v>
      </c>
    </row>
    <row r="8" spans="1:10" ht="15" customHeight="1" x14ac:dyDescent="0.3">
      <c r="A8" s="26" t="s">
        <v>13</v>
      </c>
      <c r="B8" s="27" t="s">
        <v>26</v>
      </c>
      <c r="C8" s="28">
        <v>12560</v>
      </c>
      <c r="D8" s="28">
        <v>26530</v>
      </c>
      <c r="E8" s="28">
        <v>32500</v>
      </c>
      <c r="F8" s="28">
        <f>SUM(C8:E8)</f>
        <v>71590</v>
      </c>
      <c r="G8" s="29">
        <f>AVERAGE(C8:F8)</f>
        <v>35795</v>
      </c>
      <c r="H8" s="30">
        <f>F8/$F$20</f>
        <v>6.2346506888683748E-2</v>
      </c>
      <c r="I8" s="31" t="str">
        <f>IF(F8&gt;=100000,"Objectif atteint","Objectif non atteint")</f>
        <v>Objectif non atteint</v>
      </c>
      <c r="J8" s="28">
        <f>IF(F8&lt;=100000,F8*0.5%,F8*1%)</f>
        <v>357.95</v>
      </c>
    </row>
    <row r="9" spans="1:10" ht="15" customHeight="1" x14ac:dyDescent="0.3">
      <c r="A9" s="32" t="s">
        <v>14</v>
      </c>
      <c r="B9" s="33" t="s">
        <v>27</v>
      </c>
      <c r="C9" s="34">
        <v>9800</v>
      </c>
      <c r="D9" s="34">
        <v>10250</v>
      </c>
      <c r="E9" s="34">
        <v>18350</v>
      </c>
      <c r="F9" s="34">
        <f t="shared" ref="F9:F19" si="0">SUM(C9:E9)</f>
        <v>38400</v>
      </c>
      <c r="G9" s="35">
        <f t="shared" ref="G9:G20" si="1">AVERAGE(C9:F9)</f>
        <v>19200</v>
      </c>
      <c r="H9" s="36">
        <f t="shared" ref="H9:H20" si="2">F9/$F$20</f>
        <v>3.344190340166861E-2</v>
      </c>
      <c r="I9" s="37" t="str">
        <f t="shared" ref="I9:I19" si="3">IF(F9&gt;=100000,"Objectif atteint","Objectif non atteint")</f>
        <v>Objectif non atteint</v>
      </c>
      <c r="J9" s="34">
        <f t="shared" ref="J9:J19" si="4">IF(F9&lt;=100000,F9*0.5%,F9*1%)</f>
        <v>192</v>
      </c>
    </row>
    <row r="10" spans="1:10" ht="15" customHeight="1" x14ac:dyDescent="0.3">
      <c r="A10" s="26" t="s">
        <v>15</v>
      </c>
      <c r="B10" s="27" t="s">
        <v>28</v>
      </c>
      <c r="C10" s="28">
        <v>10000</v>
      </c>
      <c r="D10" s="28">
        <v>9000</v>
      </c>
      <c r="E10" s="28">
        <v>71200</v>
      </c>
      <c r="F10" s="28">
        <f t="shared" si="0"/>
        <v>90200</v>
      </c>
      <c r="G10" s="29">
        <f t="shared" si="1"/>
        <v>45100</v>
      </c>
      <c r="H10" s="30">
        <f t="shared" si="2"/>
        <v>7.8553637677877833E-2</v>
      </c>
      <c r="I10" s="31" t="str">
        <f t="shared" si="3"/>
        <v>Objectif non atteint</v>
      </c>
      <c r="J10" s="28">
        <f t="shared" si="4"/>
        <v>451</v>
      </c>
    </row>
    <row r="11" spans="1:10" ht="15" customHeight="1" x14ac:dyDescent="0.3">
      <c r="A11" s="32" t="s">
        <v>16</v>
      </c>
      <c r="B11" s="33" t="s">
        <v>26</v>
      </c>
      <c r="C11" s="34">
        <v>15480</v>
      </c>
      <c r="D11" s="34">
        <v>51230</v>
      </c>
      <c r="E11" s="34">
        <v>68900</v>
      </c>
      <c r="F11" s="34">
        <f t="shared" si="0"/>
        <v>135610</v>
      </c>
      <c r="G11" s="35">
        <f t="shared" si="1"/>
        <v>67805</v>
      </c>
      <c r="H11" s="36">
        <f t="shared" si="2"/>
        <v>0.11810043021615313</v>
      </c>
      <c r="I11" s="37" t="str">
        <f t="shared" si="3"/>
        <v>Objectif atteint</v>
      </c>
      <c r="J11" s="34">
        <f t="shared" si="4"/>
        <v>1356.1000000000001</v>
      </c>
    </row>
    <row r="12" spans="1:10" ht="15" customHeight="1" x14ac:dyDescent="0.3">
      <c r="A12" s="26" t="s">
        <v>17</v>
      </c>
      <c r="B12" s="27" t="s">
        <v>26</v>
      </c>
      <c r="C12" s="28">
        <v>19800</v>
      </c>
      <c r="D12" s="28">
        <v>38940</v>
      </c>
      <c r="E12" s="28">
        <v>48560</v>
      </c>
      <c r="F12" s="28">
        <f t="shared" si="0"/>
        <v>107300</v>
      </c>
      <c r="G12" s="29">
        <f t="shared" si="1"/>
        <v>53650</v>
      </c>
      <c r="H12" s="30">
        <f t="shared" si="2"/>
        <v>9.3445735286433393E-2</v>
      </c>
      <c r="I12" s="31" t="str">
        <f t="shared" si="3"/>
        <v>Objectif atteint</v>
      </c>
      <c r="J12" s="28">
        <f t="shared" si="4"/>
        <v>1073</v>
      </c>
    </row>
    <row r="13" spans="1:10" ht="15" customHeight="1" x14ac:dyDescent="0.3">
      <c r="A13" s="32" t="s">
        <v>18</v>
      </c>
      <c r="B13" s="33" t="s">
        <v>27</v>
      </c>
      <c r="C13" s="34">
        <v>14860</v>
      </c>
      <c r="D13" s="34">
        <v>16870</v>
      </c>
      <c r="E13" s="34">
        <v>75300</v>
      </c>
      <c r="F13" s="34">
        <f t="shared" si="0"/>
        <v>107030</v>
      </c>
      <c r="G13" s="35">
        <f t="shared" si="1"/>
        <v>53515</v>
      </c>
      <c r="H13" s="36">
        <f t="shared" si="2"/>
        <v>9.3210596903140402E-2</v>
      </c>
      <c r="I13" s="37" t="str">
        <f t="shared" si="3"/>
        <v>Objectif atteint</v>
      </c>
      <c r="J13" s="34">
        <f t="shared" si="4"/>
        <v>1070.3</v>
      </c>
    </row>
    <row r="14" spans="1:10" ht="15" customHeight="1" x14ac:dyDescent="0.3">
      <c r="A14" s="26" t="s">
        <v>19</v>
      </c>
      <c r="B14" s="27" t="s">
        <v>27</v>
      </c>
      <c r="C14" s="28">
        <v>10300</v>
      </c>
      <c r="D14" s="28">
        <v>51790</v>
      </c>
      <c r="E14" s="28">
        <v>52000</v>
      </c>
      <c r="F14" s="28">
        <f t="shared" si="0"/>
        <v>114090</v>
      </c>
      <c r="G14" s="29">
        <f t="shared" si="1"/>
        <v>57045</v>
      </c>
      <c r="H14" s="30">
        <f t="shared" si="2"/>
        <v>9.9359030184801356E-2</v>
      </c>
      <c r="I14" s="31" t="str">
        <f t="shared" si="3"/>
        <v>Objectif atteint</v>
      </c>
      <c r="J14" s="28">
        <f t="shared" si="4"/>
        <v>1140.9000000000001</v>
      </c>
    </row>
    <row r="15" spans="1:10" ht="15" customHeight="1" x14ac:dyDescent="0.3">
      <c r="A15" s="32" t="s">
        <v>20</v>
      </c>
      <c r="B15" s="33" t="s">
        <v>26</v>
      </c>
      <c r="C15" s="34">
        <v>7500</v>
      </c>
      <c r="D15" s="34">
        <v>12650</v>
      </c>
      <c r="E15" s="34">
        <v>26870</v>
      </c>
      <c r="F15" s="34">
        <f t="shared" si="0"/>
        <v>47020</v>
      </c>
      <c r="G15" s="35">
        <f t="shared" si="1"/>
        <v>23510</v>
      </c>
      <c r="H15" s="36">
        <f t="shared" si="2"/>
        <v>4.0948914009022348E-2</v>
      </c>
      <c r="I15" s="37" t="str">
        <f t="shared" si="3"/>
        <v>Objectif non atteint</v>
      </c>
      <c r="J15" s="34">
        <f t="shared" si="4"/>
        <v>235.1</v>
      </c>
    </row>
    <row r="16" spans="1:10" ht="15" customHeight="1" x14ac:dyDescent="0.3">
      <c r="A16" s="26" t="s">
        <v>21</v>
      </c>
      <c r="B16" s="27" t="s">
        <v>28</v>
      </c>
      <c r="C16" s="28">
        <v>14890</v>
      </c>
      <c r="D16" s="28">
        <v>19800</v>
      </c>
      <c r="E16" s="28">
        <v>49870</v>
      </c>
      <c r="F16" s="28">
        <f t="shared" si="0"/>
        <v>84560</v>
      </c>
      <c r="G16" s="29">
        <f t="shared" si="1"/>
        <v>42280</v>
      </c>
      <c r="H16" s="30">
        <f t="shared" si="2"/>
        <v>7.3641858115757755E-2</v>
      </c>
      <c r="I16" s="31" t="str">
        <f t="shared" si="3"/>
        <v>Objectif non atteint</v>
      </c>
      <c r="J16" s="28">
        <f t="shared" si="4"/>
        <v>422.8</v>
      </c>
    </row>
    <row r="17" spans="1:10" ht="15" customHeight="1" x14ac:dyDescent="0.3">
      <c r="A17" s="32" t="s">
        <v>23</v>
      </c>
      <c r="B17" s="33" t="s">
        <v>28</v>
      </c>
      <c r="C17" s="34">
        <v>22230</v>
      </c>
      <c r="D17" s="34">
        <v>28000</v>
      </c>
      <c r="E17" s="34">
        <v>45000</v>
      </c>
      <c r="F17" s="34">
        <f t="shared" si="0"/>
        <v>95230</v>
      </c>
      <c r="G17" s="35">
        <f t="shared" si="1"/>
        <v>47615</v>
      </c>
      <c r="H17" s="36">
        <f t="shared" si="2"/>
        <v>8.2934178670335992E-2</v>
      </c>
      <c r="I17" s="37" t="str">
        <f t="shared" si="3"/>
        <v>Objectif non atteint</v>
      </c>
      <c r="J17" s="34">
        <f t="shared" si="4"/>
        <v>476.15000000000003</v>
      </c>
    </row>
    <row r="18" spans="1:10" ht="15" customHeight="1" x14ac:dyDescent="0.3">
      <c r="A18" s="26" t="s">
        <v>24</v>
      </c>
      <c r="B18" s="27" t="s">
        <v>27</v>
      </c>
      <c r="C18" s="28">
        <v>26890</v>
      </c>
      <c r="D18" s="28">
        <v>36890</v>
      </c>
      <c r="E18" s="28">
        <v>77900</v>
      </c>
      <c r="F18" s="28">
        <f t="shared" si="0"/>
        <v>141680</v>
      </c>
      <c r="G18" s="29">
        <f t="shared" si="1"/>
        <v>70840</v>
      </c>
      <c r="H18" s="30">
        <f t="shared" si="2"/>
        <v>0.12338668942573981</v>
      </c>
      <c r="I18" s="31" t="str">
        <f t="shared" si="3"/>
        <v>Objectif atteint</v>
      </c>
      <c r="J18" s="28">
        <f t="shared" si="4"/>
        <v>1416.8</v>
      </c>
    </row>
    <row r="19" spans="1:10" ht="15" customHeight="1" x14ac:dyDescent="0.3">
      <c r="A19" s="32" t="s">
        <v>25</v>
      </c>
      <c r="B19" s="33" t="s">
        <v>26</v>
      </c>
      <c r="C19" s="34">
        <v>15000</v>
      </c>
      <c r="D19" s="34">
        <v>20300</v>
      </c>
      <c r="E19" s="34">
        <v>80250</v>
      </c>
      <c r="F19" s="34">
        <f t="shared" si="0"/>
        <v>115550</v>
      </c>
      <c r="G19" s="35">
        <f t="shared" si="1"/>
        <v>57775</v>
      </c>
      <c r="H19" s="36">
        <f t="shared" si="2"/>
        <v>0.10063051922038563</v>
      </c>
      <c r="I19" s="37" t="str">
        <f t="shared" si="3"/>
        <v>Objectif atteint</v>
      </c>
      <c r="J19" s="34">
        <f t="shared" si="4"/>
        <v>1155.5</v>
      </c>
    </row>
    <row r="20" spans="1:10" ht="15" customHeight="1" x14ac:dyDescent="0.3">
      <c r="A20" s="38" t="s">
        <v>3</v>
      </c>
      <c r="B20" s="39"/>
      <c r="C20" s="28">
        <f>SUM(C8:C19)</f>
        <v>179310</v>
      </c>
      <c r="D20" s="28">
        <f t="shared" ref="D20:F20" si="5">SUM(D8:D19)</f>
        <v>322250</v>
      </c>
      <c r="E20" s="28">
        <f t="shared" si="5"/>
        <v>646700</v>
      </c>
      <c r="F20" s="28">
        <f t="shared" si="5"/>
        <v>1148260</v>
      </c>
      <c r="G20" s="40">
        <f t="shared" si="1"/>
        <v>574130</v>
      </c>
      <c r="H20" s="30">
        <f t="shared" si="2"/>
        <v>1</v>
      </c>
      <c r="I20" s="41"/>
      <c r="J20" s="42">
        <f>SUM(J8:J19)</f>
        <v>9347.6</v>
      </c>
    </row>
    <row r="21" spans="1:10" x14ac:dyDescent="0.3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3">
      <c r="C22" s="3"/>
      <c r="D22" s="3"/>
      <c r="E22" s="3"/>
      <c r="F22" s="3"/>
      <c r="H22" s="11" t="s">
        <v>10</v>
      </c>
      <c r="I22" s="14">
        <f>COUNTIF(I8:I19,"Objectif atteint")</f>
        <v>6</v>
      </c>
    </row>
    <row r="23" spans="1:10" x14ac:dyDescent="0.3">
      <c r="A23" s="12" t="s">
        <v>4</v>
      </c>
      <c r="B23" s="12"/>
      <c r="C23" s="13">
        <v>40971</v>
      </c>
      <c r="H23" s="12" t="s">
        <v>11</v>
      </c>
      <c r="I23" s="15">
        <f>COUNTIF(I8:I19,"Objectif non atteint")</f>
        <v>6</v>
      </c>
    </row>
    <row r="25" spans="1:10" x14ac:dyDescent="0.3">
      <c r="D25" s="5"/>
    </row>
    <row r="30" spans="1:10" x14ac:dyDescent="0.3">
      <c r="E30" s="6"/>
    </row>
  </sheetData>
  <mergeCells count="1">
    <mergeCell ref="A1:J1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J31"/>
  <sheetViews>
    <sheetView workbookViewId="0">
      <selection activeCell="E10" sqref="E10"/>
    </sheetView>
  </sheetViews>
  <sheetFormatPr baseColWidth="10" defaultColWidth="11.44140625" defaultRowHeight="14.4" x14ac:dyDescent="0.3"/>
  <cols>
    <col min="1" max="2" width="18.33203125" style="1" customWidth="1"/>
    <col min="3" max="5" width="12.6640625" style="1" customWidth="1"/>
    <col min="6" max="6" width="14.88671875" style="1" customWidth="1"/>
    <col min="7" max="7" width="19.5546875" style="1" customWidth="1"/>
    <col min="8" max="8" width="19.33203125" style="1" customWidth="1"/>
    <col min="9" max="9" width="23.6640625" style="1" customWidth="1"/>
    <col min="10" max="10" width="16.44140625" style="1" bestFit="1" customWidth="1"/>
    <col min="11" max="16384" width="11.44140625" style="1"/>
  </cols>
  <sheetData>
    <row r="1" spans="1:10" ht="30.75" customHeight="1" x14ac:dyDescent="0.3">
      <c r="A1" s="48" t="s">
        <v>22</v>
      </c>
      <c r="B1" s="48"/>
      <c r="C1" s="48"/>
      <c r="D1" s="48"/>
      <c r="E1" s="48"/>
      <c r="F1" s="48"/>
      <c r="G1" s="48"/>
      <c r="H1" s="48"/>
      <c r="I1" s="48"/>
      <c r="J1" s="48"/>
    </row>
    <row r="4" spans="1:10" ht="21" x14ac:dyDescent="0.3">
      <c r="A4" s="24" t="s">
        <v>40</v>
      </c>
    </row>
    <row r="6" spans="1:10" x14ac:dyDescent="0.3">
      <c r="D6" s="1" t="s">
        <v>0</v>
      </c>
    </row>
    <row r="7" spans="1:10" ht="37.5" customHeight="1" x14ac:dyDescent="0.3">
      <c r="A7" s="19"/>
      <c r="B7" s="7" t="s">
        <v>12</v>
      </c>
      <c r="C7" s="7" t="s">
        <v>5</v>
      </c>
      <c r="D7" s="7" t="s">
        <v>1</v>
      </c>
      <c r="E7" s="7" t="s">
        <v>2</v>
      </c>
      <c r="F7" s="7" t="s">
        <v>3</v>
      </c>
      <c r="G7" s="8" t="s">
        <v>9</v>
      </c>
      <c r="H7" s="8" t="s">
        <v>8</v>
      </c>
      <c r="I7" s="8" t="s">
        <v>7</v>
      </c>
      <c r="J7" s="7" t="s">
        <v>6</v>
      </c>
    </row>
    <row r="8" spans="1:10" ht="15" customHeight="1" x14ac:dyDescent="0.3">
      <c r="A8" s="26" t="s">
        <v>13</v>
      </c>
      <c r="B8" s="27" t="s">
        <v>26</v>
      </c>
      <c r="C8" s="28">
        <v>10000</v>
      </c>
      <c r="D8" s="28">
        <v>25000</v>
      </c>
      <c r="E8" s="28">
        <v>50000</v>
      </c>
      <c r="F8" s="28">
        <f>SUM(C8:E8)</f>
        <v>85000</v>
      </c>
      <c r="G8" s="29">
        <f>AVERAGE(C8:F8)</f>
        <v>42500</v>
      </c>
      <c r="H8" s="30">
        <f>F8/$F$20</f>
        <v>7.4411275496804694E-2</v>
      </c>
      <c r="I8" s="31" t="str">
        <f>IF(F8&gt;=100000,"Objectif atteint","Objectif non atteint")</f>
        <v>Objectif non atteint</v>
      </c>
      <c r="J8" s="28">
        <f>IF(F8&lt;=100000,F8*0.5%,F8*2.5%)</f>
        <v>425</v>
      </c>
    </row>
    <row r="9" spans="1:10" ht="15" customHeight="1" x14ac:dyDescent="0.3">
      <c r="A9" s="32" t="s">
        <v>14</v>
      </c>
      <c r="B9" s="33" t="s">
        <v>27</v>
      </c>
      <c r="C9" s="34">
        <v>12000</v>
      </c>
      <c r="D9" s="34">
        <v>9800</v>
      </c>
      <c r="E9" s="34">
        <v>42500</v>
      </c>
      <c r="F9" s="34">
        <f t="shared" ref="F9:F19" si="0">SUM(C9:E9)</f>
        <v>64300</v>
      </c>
      <c r="G9" s="35">
        <f t="shared" ref="G9:G20" si="1">AVERAGE(C9:F9)</f>
        <v>32150</v>
      </c>
      <c r="H9" s="36">
        <f t="shared" ref="H9:H20" si="2">F9/$F$20</f>
        <v>5.6289941346406372E-2</v>
      </c>
      <c r="I9" s="37" t="str">
        <f t="shared" ref="I9:I19" si="3">IF(F9&gt;=100000,"Objectif atteint","Objectif non atteint")</f>
        <v>Objectif non atteint</v>
      </c>
      <c r="J9" s="34">
        <f t="shared" ref="J9:J19" si="4">IF(F9&lt;=100000,F9*0.5%,F9*2.5%)</f>
        <v>321.5</v>
      </c>
    </row>
    <row r="10" spans="1:10" ht="15" customHeight="1" x14ac:dyDescent="0.3">
      <c r="A10" s="26" t="s">
        <v>15</v>
      </c>
      <c r="B10" s="27" t="s">
        <v>28</v>
      </c>
      <c r="C10" s="28">
        <v>10000</v>
      </c>
      <c r="D10" s="28">
        <v>10000</v>
      </c>
      <c r="E10" s="28">
        <v>65000</v>
      </c>
      <c r="F10" s="28">
        <f t="shared" si="0"/>
        <v>85000</v>
      </c>
      <c r="G10" s="29">
        <f t="shared" si="1"/>
        <v>42500</v>
      </c>
      <c r="H10" s="30">
        <f t="shared" si="2"/>
        <v>7.4411275496804694E-2</v>
      </c>
      <c r="I10" s="31" t="str">
        <f t="shared" si="3"/>
        <v>Objectif non atteint</v>
      </c>
      <c r="J10" s="28">
        <f t="shared" si="4"/>
        <v>425</v>
      </c>
    </row>
    <row r="11" spans="1:10" ht="15" customHeight="1" x14ac:dyDescent="0.3">
      <c r="A11" s="32" t="s">
        <v>16</v>
      </c>
      <c r="B11" s="33" t="s">
        <v>26</v>
      </c>
      <c r="C11" s="34">
        <v>12000</v>
      </c>
      <c r="D11" s="34">
        <v>50000</v>
      </c>
      <c r="E11" s="34">
        <v>70000</v>
      </c>
      <c r="F11" s="34">
        <f t="shared" si="0"/>
        <v>132000</v>
      </c>
      <c r="G11" s="35">
        <f t="shared" si="1"/>
        <v>66000</v>
      </c>
      <c r="H11" s="36">
        <f t="shared" si="2"/>
        <v>0.11555633371268494</v>
      </c>
      <c r="I11" s="37" t="str">
        <f t="shared" si="3"/>
        <v>Objectif atteint</v>
      </c>
      <c r="J11" s="34">
        <f t="shared" si="4"/>
        <v>3300</v>
      </c>
    </row>
    <row r="12" spans="1:10" ht="15" customHeight="1" x14ac:dyDescent="0.3">
      <c r="A12" s="26" t="s">
        <v>17</v>
      </c>
      <c r="B12" s="27" t="s">
        <v>26</v>
      </c>
      <c r="C12" s="28">
        <v>20000</v>
      </c>
      <c r="D12" s="28">
        <v>40000</v>
      </c>
      <c r="E12" s="28">
        <v>45000</v>
      </c>
      <c r="F12" s="28">
        <f t="shared" si="0"/>
        <v>105000</v>
      </c>
      <c r="G12" s="29">
        <f t="shared" si="1"/>
        <v>52500</v>
      </c>
      <c r="H12" s="30">
        <f t="shared" si="2"/>
        <v>9.1919810907817562E-2</v>
      </c>
      <c r="I12" s="31" t="str">
        <f t="shared" si="3"/>
        <v>Objectif atteint</v>
      </c>
      <c r="J12" s="28">
        <f t="shared" si="4"/>
        <v>2625</v>
      </c>
    </row>
    <row r="13" spans="1:10" ht="15" customHeight="1" x14ac:dyDescent="0.3">
      <c r="A13" s="32" t="s">
        <v>18</v>
      </c>
      <c r="B13" s="33" t="s">
        <v>27</v>
      </c>
      <c r="C13" s="34">
        <v>15000</v>
      </c>
      <c r="D13" s="34">
        <v>15000</v>
      </c>
      <c r="E13" s="34">
        <v>70000</v>
      </c>
      <c r="F13" s="34">
        <f t="shared" si="0"/>
        <v>100000</v>
      </c>
      <c r="G13" s="35">
        <f t="shared" si="1"/>
        <v>50000</v>
      </c>
      <c r="H13" s="36">
        <f t="shared" si="2"/>
        <v>8.7542677055064341E-2</v>
      </c>
      <c r="I13" s="37" t="str">
        <f t="shared" si="3"/>
        <v>Objectif atteint</v>
      </c>
      <c r="J13" s="34">
        <f t="shared" si="4"/>
        <v>500</v>
      </c>
    </row>
    <row r="14" spans="1:10" ht="15" customHeight="1" x14ac:dyDescent="0.3">
      <c r="A14" s="26" t="s">
        <v>19</v>
      </c>
      <c r="B14" s="27" t="s">
        <v>27</v>
      </c>
      <c r="C14" s="28">
        <v>10000</v>
      </c>
      <c r="D14" s="28">
        <v>50000</v>
      </c>
      <c r="E14" s="28">
        <v>50000</v>
      </c>
      <c r="F14" s="28">
        <f t="shared" si="0"/>
        <v>110000</v>
      </c>
      <c r="G14" s="29">
        <f t="shared" si="1"/>
        <v>55000</v>
      </c>
      <c r="H14" s="30">
        <f t="shared" si="2"/>
        <v>9.6296944760570782E-2</v>
      </c>
      <c r="I14" s="31" t="str">
        <f t="shared" si="3"/>
        <v>Objectif atteint</v>
      </c>
      <c r="J14" s="28">
        <f t="shared" si="4"/>
        <v>2750</v>
      </c>
    </row>
    <row r="15" spans="1:10" ht="15" customHeight="1" x14ac:dyDescent="0.3">
      <c r="A15" s="32" t="s">
        <v>20</v>
      </c>
      <c r="B15" s="33" t="s">
        <v>26</v>
      </c>
      <c r="C15" s="34">
        <v>8000</v>
      </c>
      <c r="D15" s="34">
        <v>15000</v>
      </c>
      <c r="E15" s="34">
        <v>20000</v>
      </c>
      <c r="F15" s="34">
        <f t="shared" si="0"/>
        <v>43000</v>
      </c>
      <c r="G15" s="35">
        <f t="shared" si="1"/>
        <v>21500</v>
      </c>
      <c r="H15" s="36">
        <f t="shared" si="2"/>
        <v>3.7643351133677665E-2</v>
      </c>
      <c r="I15" s="37" t="str">
        <f t="shared" si="3"/>
        <v>Objectif non atteint</v>
      </c>
      <c r="J15" s="34">
        <f t="shared" si="4"/>
        <v>215</v>
      </c>
    </row>
    <row r="16" spans="1:10" ht="15" customHeight="1" x14ac:dyDescent="0.3">
      <c r="A16" s="26" t="s">
        <v>21</v>
      </c>
      <c r="B16" s="27" t="s">
        <v>28</v>
      </c>
      <c r="C16" s="28">
        <v>15000</v>
      </c>
      <c r="D16" s="28">
        <v>20000</v>
      </c>
      <c r="E16" s="28">
        <v>50000</v>
      </c>
      <c r="F16" s="28">
        <f t="shared" si="0"/>
        <v>85000</v>
      </c>
      <c r="G16" s="29">
        <f t="shared" si="1"/>
        <v>42500</v>
      </c>
      <c r="H16" s="30">
        <f t="shared" si="2"/>
        <v>7.4411275496804694E-2</v>
      </c>
      <c r="I16" s="31" t="str">
        <f t="shared" si="3"/>
        <v>Objectif non atteint</v>
      </c>
      <c r="J16" s="28">
        <f t="shared" si="4"/>
        <v>425</v>
      </c>
    </row>
    <row r="17" spans="1:10" ht="15" customHeight="1" x14ac:dyDescent="0.3">
      <c r="A17" s="32" t="s">
        <v>23</v>
      </c>
      <c r="B17" s="33" t="s">
        <v>28</v>
      </c>
      <c r="C17" s="34">
        <v>20000</v>
      </c>
      <c r="D17" s="34">
        <v>30000</v>
      </c>
      <c r="E17" s="34">
        <v>45000</v>
      </c>
      <c r="F17" s="34">
        <f t="shared" si="0"/>
        <v>95000</v>
      </c>
      <c r="G17" s="35">
        <f t="shared" si="1"/>
        <v>47500</v>
      </c>
      <c r="H17" s="36">
        <f t="shared" si="2"/>
        <v>8.3165543202311121E-2</v>
      </c>
      <c r="I17" s="37" t="str">
        <f t="shared" si="3"/>
        <v>Objectif non atteint</v>
      </c>
      <c r="J17" s="34">
        <f t="shared" si="4"/>
        <v>475</v>
      </c>
    </row>
    <row r="18" spans="1:10" ht="15" customHeight="1" x14ac:dyDescent="0.3">
      <c r="A18" s="26" t="s">
        <v>24</v>
      </c>
      <c r="B18" s="27" t="s">
        <v>27</v>
      </c>
      <c r="C18" s="28">
        <v>25000</v>
      </c>
      <c r="D18" s="28">
        <v>35000</v>
      </c>
      <c r="E18" s="28">
        <v>42000</v>
      </c>
      <c r="F18" s="28">
        <f t="shared" si="0"/>
        <v>102000</v>
      </c>
      <c r="G18" s="29">
        <f t="shared" si="1"/>
        <v>51000</v>
      </c>
      <c r="H18" s="30">
        <f t="shared" si="2"/>
        <v>8.9293530596165627E-2</v>
      </c>
      <c r="I18" s="31" t="str">
        <f t="shared" si="3"/>
        <v>Objectif atteint</v>
      </c>
      <c r="J18" s="28">
        <f t="shared" si="4"/>
        <v>2550</v>
      </c>
    </row>
    <row r="19" spans="1:10" ht="15" customHeight="1" x14ac:dyDescent="0.3">
      <c r="A19" s="32" t="s">
        <v>25</v>
      </c>
      <c r="B19" s="33" t="s">
        <v>26</v>
      </c>
      <c r="C19" s="34">
        <v>16000</v>
      </c>
      <c r="D19" s="34">
        <v>40000</v>
      </c>
      <c r="E19" s="34">
        <v>80000</v>
      </c>
      <c r="F19" s="34">
        <f t="shared" si="0"/>
        <v>136000</v>
      </c>
      <c r="G19" s="35">
        <f t="shared" si="1"/>
        <v>68000</v>
      </c>
      <c r="H19" s="36">
        <f t="shared" si="2"/>
        <v>0.11905804079488751</v>
      </c>
      <c r="I19" s="37" t="str">
        <f t="shared" si="3"/>
        <v>Objectif atteint</v>
      </c>
      <c r="J19" s="34">
        <f t="shared" si="4"/>
        <v>3400</v>
      </c>
    </row>
    <row r="20" spans="1:10" ht="15" customHeight="1" x14ac:dyDescent="0.3">
      <c r="A20" s="38" t="s">
        <v>3</v>
      </c>
      <c r="B20" s="39"/>
      <c r="C20" s="28">
        <f>SUM(C8:C19)</f>
        <v>173000</v>
      </c>
      <c r="D20" s="28">
        <f t="shared" ref="D20:F20" si="5">SUM(D8:D19)</f>
        <v>339800</v>
      </c>
      <c r="E20" s="28">
        <f t="shared" si="5"/>
        <v>629500</v>
      </c>
      <c r="F20" s="28">
        <f t="shared" si="5"/>
        <v>1142300</v>
      </c>
      <c r="G20" s="40">
        <f t="shared" si="1"/>
        <v>571150</v>
      </c>
      <c r="H20" s="30">
        <f t="shared" si="2"/>
        <v>1</v>
      </c>
      <c r="I20" s="41"/>
      <c r="J20" s="42">
        <f>SUM(J8:J19)</f>
        <v>17411.5</v>
      </c>
    </row>
    <row r="21" spans="1:10" x14ac:dyDescent="0.3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3">
      <c r="C22" s="3"/>
      <c r="D22" s="3"/>
      <c r="E22" s="3"/>
      <c r="F22" s="3"/>
      <c r="H22" s="11" t="s">
        <v>10</v>
      </c>
      <c r="I22" s="14">
        <f>COUNTIF(I8:I19,"Objectif atteint")</f>
        <v>6</v>
      </c>
    </row>
    <row r="23" spans="1:10" x14ac:dyDescent="0.3">
      <c r="A23" s="12" t="s">
        <v>4</v>
      </c>
      <c r="B23" s="12"/>
      <c r="C23" s="13">
        <v>41002</v>
      </c>
      <c r="H23" s="12" t="s">
        <v>11</v>
      </c>
      <c r="I23" s="15">
        <f>COUNTIF(I8:I19,"Objectif non atteint")</f>
        <v>6</v>
      </c>
    </row>
    <row r="25" spans="1:10" ht="18.75" customHeight="1" x14ac:dyDescent="0.3">
      <c r="A25" s="11" t="s">
        <v>33</v>
      </c>
      <c r="B25" s="25">
        <f>AVERAGE(F8:F19)</f>
        <v>95191.666666666672</v>
      </c>
      <c r="D25" s="5"/>
    </row>
    <row r="26" spans="1:10" ht="18.75" customHeight="1" x14ac:dyDescent="0.3">
      <c r="A26" s="12" t="s">
        <v>34</v>
      </c>
      <c r="B26" s="25">
        <f>MAX(F8:F19)</f>
        <v>136000</v>
      </c>
    </row>
    <row r="27" spans="1:10" ht="18.75" customHeight="1" x14ac:dyDescent="0.3">
      <c r="A27" s="11" t="s">
        <v>35</v>
      </c>
      <c r="B27" s="25">
        <f>MIN(F8,F10:F19)</f>
        <v>43000</v>
      </c>
    </row>
    <row r="29" spans="1:10" ht="19.5" customHeight="1" x14ac:dyDescent="0.3">
      <c r="A29" s="11" t="s">
        <v>38</v>
      </c>
      <c r="B29" s="11"/>
      <c r="C29" s="25">
        <f>COUNTIFS(B8:B19,"NANTES",F8:F19,"&gt;=100000")</f>
        <v>3</v>
      </c>
    </row>
    <row r="30" spans="1:10" ht="22.5" customHeight="1" x14ac:dyDescent="0.3">
      <c r="A30" s="11" t="s">
        <v>37</v>
      </c>
      <c r="B30" s="11"/>
      <c r="C30" s="25">
        <f>AVERAGEIFS(F8:F19,B8:B19,"ANGERS",F8:F19,"&lt;&gt;0")</f>
        <v>94075</v>
      </c>
    </row>
    <row r="31" spans="1:10" x14ac:dyDescent="0.3">
      <c r="A31" s="11" t="s">
        <v>36</v>
      </c>
      <c r="B31" s="11"/>
      <c r="C31" s="11"/>
      <c r="D31" s="11"/>
      <c r="E31" s="25">
        <f>SUMIFS(F8:F19,B8:B19,"NANTES",I8:I19,"Objectif atteint",J8:J19,"&gt;1300")</f>
        <v>373000</v>
      </c>
    </row>
  </sheetData>
  <mergeCells count="1">
    <mergeCell ref="A1:J1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F32"/>
  <sheetViews>
    <sheetView zoomScaleNormal="100" workbookViewId="0">
      <selection sqref="A1:F1"/>
    </sheetView>
  </sheetViews>
  <sheetFormatPr baseColWidth="10" defaultColWidth="11.44140625" defaultRowHeight="14.4" x14ac:dyDescent="0.3"/>
  <cols>
    <col min="1" max="2" width="18.33203125" style="1" customWidth="1"/>
    <col min="3" max="5" width="12.6640625" style="1" customWidth="1"/>
    <col min="6" max="6" width="14.88671875" style="1" customWidth="1"/>
    <col min="7" max="16384" width="11.44140625" style="1"/>
  </cols>
  <sheetData>
    <row r="1" spans="1:6" ht="30.75" customHeight="1" x14ac:dyDescent="0.3">
      <c r="A1" s="48" t="s">
        <v>22</v>
      </c>
      <c r="B1" s="48"/>
      <c r="C1" s="48"/>
      <c r="D1" s="48"/>
      <c r="E1" s="48"/>
      <c r="F1" s="48"/>
    </row>
    <row r="4" spans="1:6" ht="21" x14ac:dyDescent="0.3">
      <c r="A4" s="23" t="s">
        <v>32</v>
      </c>
    </row>
    <row r="6" spans="1:6" x14ac:dyDescent="0.3">
      <c r="D6" s="1" t="s">
        <v>0</v>
      </c>
    </row>
    <row r="7" spans="1:6" ht="37.5" customHeight="1" x14ac:dyDescent="0.3">
      <c r="A7" s="19"/>
      <c r="B7" s="7" t="s">
        <v>12</v>
      </c>
      <c r="C7" s="7" t="s">
        <v>5</v>
      </c>
      <c r="D7" s="7" t="s">
        <v>1</v>
      </c>
      <c r="E7" s="7" t="s">
        <v>2</v>
      </c>
      <c r="F7" s="7" t="s">
        <v>3</v>
      </c>
    </row>
    <row r="8" spans="1:6" ht="21.75" customHeight="1" x14ac:dyDescent="0.3">
      <c r="A8" s="20" t="s">
        <v>13</v>
      </c>
      <c r="B8" s="17" t="s">
        <v>26</v>
      </c>
      <c r="C8" s="9">
        <f>Janvier!C8+Février!C8+Mars!C8</f>
        <v>30060</v>
      </c>
      <c r="D8" s="9">
        <f>Janvier!D8+Février!D8+Mars!D8</f>
        <v>69930</v>
      </c>
      <c r="E8" s="9">
        <f>Janvier!E8+Février!E8+Mars!E8</f>
        <v>123760</v>
      </c>
      <c r="F8" s="9">
        <f>SUM(C8:E8)</f>
        <v>223750</v>
      </c>
    </row>
    <row r="9" spans="1:6" ht="21.75" customHeight="1" x14ac:dyDescent="0.3">
      <c r="A9" s="21" t="s">
        <v>14</v>
      </c>
      <c r="B9" s="18" t="s">
        <v>27</v>
      </c>
      <c r="C9" s="10">
        <f>Janvier!C9+Février!C9+Mars!C9</f>
        <v>29800</v>
      </c>
      <c r="D9" s="10">
        <f>Janvier!D9+Février!D9+Mars!D9</f>
        <v>30350</v>
      </c>
      <c r="E9" s="9">
        <f>Janvier!E9+Février!E9+Mars!E9</f>
        <v>73740</v>
      </c>
      <c r="F9" s="9">
        <f t="shared" ref="F9:F19" si="0">SUM(C9:E9)</f>
        <v>133890</v>
      </c>
    </row>
    <row r="10" spans="1:6" ht="21.75" customHeight="1" x14ac:dyDescent="0.3">
      <c r="A10" s="20" t="s">
        <v>15</v>
      </c>
      <c r="B10" s="17" t="s">
        <v>28</v>
      </c>
      <c r="C10" s="9">
        <f>Janvier!C10+Février!C10+Mars!C10</f>
        <v>32000</v>
      </c>
      <c r="D10" s="9">
        <f>Janvier!D10+Février!D10+Mars!D10</f>
        <v>28800</v>
      </c>
      <c r="E10" s="9">
        <f>Janvier!E10+Février!E10+Mars!E10</f>
        <v>183090</v>
      </c>
      <c r="F10" s="9">
        <f t="shared" si="0"/>
        <v>243890</v>
      </c>
    </row>
    <row r="11" spans="1:6" ht="21.75" customHeight="1" x14ac:dyDescent="0.3">
      <c r="A11" s="21" t="s">
        <v>16</v>
      </c>
      <c r="B11" s="18" t="s">
        <v>26</v>
      </c>
      <c r="C11" s="10">
        <f>Janvier!C11+Février!C11+Mars!C11</f>
        <v>39480</v>
      </c>
      <c r="D11" s="10">
        <f>Janvier!D11+Février!D11+Mars!D11</f>
        <v>146230</v>
      </c>
      <c r="E11" s="9">
        <f>Janvier!E11+Février!E11+Mars!E11</f>
        <v>195130</v>
      </c>
      <c r="F11" s="9">
        <f t="shared" si="0"/>
        <v>380840</v>
      </c>
    </row>
    <row r="12" spans="1:6" ht="21.75" customHeight="1" x14ac:dyDescent="0.3">
      <c r="A12" s="20" t="s">
        <v>17</v>
      </c>
      <c r="B12" s="17" t="s">
        <v>26</v>
      </c>
      <c r="C12" s="9">
        <f>Janvier!C12+Février!C12+Mars!C12</f>
        <v>51050</v>
      </c>
      <c r="D12" s="9">
        <f>Janvier!D12+Février!D12+Mars!D12</f>
        <v>104620</v>
      </c>
      <c r="E12" s="9">
        <f>Janvier!E12+Février!E12+Mars!E12</f>
        <v>132350</v>
      </c>
      <c r="F12" s="9">
        <f t="shared" si="0"/>
        <v>288020</v>
      </c>
    </row>
    <row r="13" spans="1:6" ht="21.75" customHeight="1" x14ac:dyDescent="0.3">
      <c r="A13" s="21" t="s">
        <v>18</v>
      </c>
      <c r="B13" s="18" t="s">
        <v>27</v>
      </c>
      <c r="C13" s="10">
        <f>Janvier!C13+Février!C13+Mars!C13</f>
        <v>43447</v>
      </c>
      <c r="D13" s="10">
        <f>Janvier!D13+Février!D13+Mars!D13</f>
        <v>40570</v>
      </c>
      <c r="E13" s="9">
        <f>Janvier!E13+Février!E13+Mars!E13</f>
        <v>207430</v>
      </c>
      <c r="F13" s="9">
        <f t="shared" si="0"/>
        <v>291447</v>
      </c>
    </row>
    <row r="14" spans="1:6" ht="21.75" customHeight="1" x14ac:dyDescent="0.3">
      <c r="A14" s="20" t="s">
        <v>19</v>
      </c>
      <c r="B14" s="17" t="s">
        <v>27</v>
      </c>
      <c r="C14" s="9">
        <f>Janvier!C14+Février!C14+Mars!C14</f>
        <v>20311</v>
      </c>
      <c r="D14" s="9">
        <f>Janvier!D14+Février!D14+Mars!D14</f>
        <v>137470</v>
      </c>
      <c r="E14" s="9">
        <f>Janvier!E14+Février!E14+Mars!E14</f>
        <v>150700</v>
      </c>
      <c r="F14" s="9">
        <f t="shared" si="0"/>
        <v>308481</v>
      </c>
    </row>
    <row r="15" spans="1:6" ht="21.75" customHeight="1" x14ac:dyDescent="0.3">
      <c r="A15" s="21" t="s">
        <v>20</v>
      </c>
      <c r="B15" s="18" t="s">
        <v>26</v>
      </c>
      <c r="C15" s="10">
        <f>Janvier!C15+Février!C15+Mars!C15</f>
        <v>23860</v>
      </c>
      <c r="D15" s="10">
        <f>Janvier!D15+Février!D15+Mars!D15</f>
        <v>40500</v>
      </c>
      <c r="E15" s="9">
        <f>Janvier!E15+Février!E15+Mars!E15</f>
        <v>61830</v>
      </c>
      <c r="F15" s="9">
        <f t="shared" si="0"/>
        <v>126190</v>
      </c>
    </row>
    <row r="16" spans="1:6" ht="21.75" customHeight="1" x14ac:dyDescent="0.3">
      <c r="A16" s="20" t="s">
        <v>21</v>
      </c>
      <c r="B16" s="17" t="s">
        <v>28</v>
      </c>
      <c r="C16" s="9">
        <f>Janvier!C16+Février!C16+Mars!C16</f>
        <v>43430</v>
      </c>
      <c r="D16" s="9">
        <f>Janvier!D16+Février!D16+Mars!D16</f>
        <v>57390</v>
      </c>
      <c r="E16" s="9">
        <f>Janvier!E16+Février!E16+Mars!E16</f>
        <v>135770</v>
      </c>
      <c r="F16" s="9">
        <f t="shared" si="0"/>
        <v>236590</v>
      </c>
    </row>
    <row r="17" spans="1:6" ht="21.75" customHeight="1" x14ac:dyDescent="0.3">
      <c r="A17" s="21" t="s">
        <v>23</v>
      </c>
      <c r="B17" s="18" t="s">
        <v>28</v>
      </c>
      <c r="C17" s="10">
        <f>Janvier!C17+Février!C17+Mars!C17</f>
        <v>53230</v>
      </c>
      <c r="D17" s="10">
        <f>Janvier!D17+Février!D17+Mars!D17</f>
        <v>76970</v>
      </c>
      <c r="E17" s="9">
        <f>Janvier!E17+Février!E17+Mars!E17</f>
        <v>132150</v>
      </c>
      <c r="F17" s="9">
        <f t="shared" si="0"/>
        <v>262350</v>
      </c>
    </row>
    <row r="18" spans="1:6" ht="21.75" customHeight="1" x14ac:dyDescent="0.3">
      <c r="A18" s="20" t="s">
        <v>24</v>
      </c>
      <c r="B18" s="17" t="s">
        <v>27</v>
      </c>
      <c r="C18" s="9">
        <f>Janvier!C18+Février!C18+Mars!C18</f>
        <v>67690</v>
      </c>
      <c r="D18" s="9">
        <f>Janvier!D18+Février!D18+Mars!D18</f>
        <v>110010</v>
      </c>
      <c r="E18" s="9">
        <f>Janvier!E18+Février!E18+Mars!E18</f>
        <v>159460</v>
      </c>
      <c r="F18" s="9">
        <f t="shared" si="0"/>
        <v>337160</v>
      </c>
    </row>
    <row r="19" spans="1:6" ht="21.75" customHeight="1" x14ac:dyDescent="0.3">
      <c r="A19" s="21" t="s">
        <v>25</v>
      </c>
      <c r="B19" s="18" t="s">
        <v>26</v>
      </c>
      <c r="C19" s="10">
        <f>Janvier!C19+Février!C19+Mars!C19</f>
        <v>43000</v>
      </c>
      <c r="D19" s="10">
        <f>Janvier!D19+Février!D19+Mars!D19</f>
        <v>85090</v>
      </c>
      <c r="E19" s="9">
        <f>Janvier!E19+Février!E19+Mars!E19</f>
        <v>222550</v>
      </c>
      <c r="F19" s="9">
        <f t="shared" si="0"/>
        <v>350640</v>
      </c>
    </row>
    <row r="20" spans="1:6" ht="21.75" customHeight="1" x14ac:dyDescent="0.3">
      <c r="A20" s="22" t="s">
        <v>3</v>
      </c>
      <c r="B20" s="16"/>
      <c r="C20" s="9">
        <f>SUM(C8:C19)</f>
        <v>477358</v>
      </c>
      <c r="D20" s="9">
        <f t="shared" ref="D20:F20" si="1">SUM(D8:D19)</f>
        <v>927930</v>
      </c>
      <c r="E20" s="9">
        <f t="shared" si="1"/>
        <v>1777960</v>
      </c>
      <c r="F20" s="9">
        <f t="shared" si="1"/>
        <v>3183248</v>
      </c>
    </row>
    <row r="21" spans="1:6" x14ac:dyDescent="0.3">
      <c r="A21" s="2"/>
      <c r="B21" s="2"/>
      <c r="C21" s="3"/>
      <c r="D21" s="3"/>
      <c r="E21" s="3"/>
      <c r="F21" s="3"/>
    </row>
    <row r="22" spans="1:6" x14ac:dyDescent="0.3">
      <c r="C22" s="3"/>
      <c r="D22" s="3"/>
      <c r="E22" s="3"/>
      <c r="F22" s="3"/>
    </row>
    <row r="23" spans="1:6" x14ac:dyDescent="0.3">
      <c r="A23" s="12" t="s">
        <v>39</v>
      </c>
      <c r="B23" s="12"/>
      <c r="C23" s="14">
        <f>COUNT(F8:F19)</f>
        <v>12</v>
      </c>
      <c r="D23" s="3"/>
      <c r="E23" s="3"/>
      <c r="F23" s="3"/>
    </row>
    <row r="24" spans="1:6" x14ac:dyDescent="0.3">
      <c r="C24" s="3"/>
      <c r="D24" s="3"/>
      <c r="E24" s="3"/>
      <c r="F24" s="3"/>
    </row>
    <row r="25" spans="1:6" x14ac:dyDescent="0.3">
      <c r="A25" s="12" t="s">
        <v>4</v>
      </c>
      <c r="B25" s="12"/>
      <c r="C25" s="13">
        <v>41063</v>
      </c>
    </row>
    <row r="27" spans="1:6" x14ac:dyDescent="0.3">
      <c r="D27" s="5"/>
    </row>
    <row r="32" spans="1:6" x14ac:dyDescent="0.3">
      <c r="E32" s="6"/>
    </row>
  </sheetData>
  <mergeCells count="1">
    <mergeCell ref="A1:F1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>
      <selection activeCell="A2" sqref="A2"/>
    </sheetView>
  </sheetViews>
  <sheetFormatPr baseColWidth="10" defaultRowHeight="13.2" x14ac:dyDescent="0.25"/>
  <sheetData/>
  <pageMargins left="0.7" right="0.7" top="0.75" bottom="0.75" header="0.3" footer="0.3"/>
  <pageSetup paperSize="9" orientation="portrait" r:id="rId1"/>
  <headerFooter>
    <oddHeader>&amp;Cpage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Janvier</vt:lpstr>
      <vt:lpstr>Février</vt:lpstr>
      <vt:lpstr>Mars</vt:lpstr>
      <vt:lpstr>Trim1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AKOSSI G  JEAN PHILIPPE</cp:lastModifiedBy>
  <cp:lastPrinted>2012-05-30T13:56:46Z</cp:lastPrinted>
  <dcterms:created xsi:type="dcterms:W3CDTF">1999-11-23T07:58:13Z</dcterms:created>
  <dcterms:modified xsi:type="dcterms:W3CDTF">2026-08-09T20:27:39Z</dcterms:modified>
</cp:coreProperties>
</file>
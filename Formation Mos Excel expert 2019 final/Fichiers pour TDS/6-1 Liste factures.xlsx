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formation excel EXPERT 2016\Formation\"/>
    </mc:Choice>
  </mc:AlternateContent>
  <bookViews>
    <workbookView xWindow="120" yWindow="30" windowWidth="15135" windowHeight="8130"/>
  </bookViews>
  <sheets>
    <sheet name="Liste" sheetId="1" r:id="rId1"/>
    <sheet name="Corrigé Liste" sheetId="4" state="hidden" r:id="rId2"/>
    <sheet name="Corrigé Analyse" sheetId="5" state="hidden" r:id="rId3"/>
    <sheet name="Feuil1" sheetId="6" r:id="rId4"/>
  </sheets>
  <calcPr calcId="162913"/>
  <pivotCaches>
    <pivotCache cacheId="0" r:id="rId5"/>
  </pivotCaches>
</workbook>
</file>

<file path=xl/calcChain.xml><?xml version="1.0" encoding="utf-8"?>
<calcChain xmlns="http://schemas.openxmlformats.org/spreadsheetml/2006/main">
  <c r="H10" i="1" l="1"/>
  <c r="G20" i="4" l="1"/>
  <c r="H20" i="4" s="1"/>
  <c r="G19" i="4"/>
  <c r="H19" i="4" s="1"/>
  <c r="G18" i="4"/>
  <c r="H18" i="4" s="1"/>
  <c r="G17" i="4"/>
  <c r="H17" i="4" s="1"/>
  <c r="G16" i="4"/>
  <c r="H16" i="4" s="1"/>
  <c r="G15" i="4"/>
  <c r="H15" i="4" s="1"/>
  <c r="G14" i="4"/>
  <c r="H14" i="4" s="1"/>
  <c r="G13" i="4"/>
  <c r="H13" i="4" s="1"/>
  <c r="G12" i="4"/>
  <c r="H12" i="4" s="1"/>
  <c r="G11" i="4"/>
  <c r="H11" i="4" s="1"/>
  <c r="G10" i="4"/>
  <c r="H10" i="4" s="1"/>
  <c r="G9" i="4"/>
  <c r="H9" i="4" s="1"/>
  <c r="G8" i="4"/>
  <c r="H8" i="4" s="1"/>
  <c r="G7" i="4"/>
  <c r="H7" i="4" s="1"/>
  <c r="G6" i="4"/>
  <c r="H6" i="4" s="1"/>
  <c r="G5" i="4"/>
  <c r="H5" i="4" s="1"/>
  <c r="G4" i="4"/>
  <c r="H4" i="4" s="1"/>
  <c r="G3" i="4"/>
  <c r="H3" i="4" s="1"/>
  <c r="G2" i="4"/>
  <c r="H2" i="4" s="1"/>
  <c r="H20" i="1"/>
  <c r="H19" i="1"/>
  <c r="H18" i="1"/>
  <c r="H17" i="1"/>
  <c r="H16" i="1"/>
  <c r="H15" i="1"/>
  <c r="H14" i="1"/>
  <c r="H13" i="1"/>
  <c r="H12" i="1"/>
  <c r="H11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<sst xmlns="http://schemas.openxmlformats.org/spreadsheetml/2006/main" count="113" uniqueCount="23">
  <si>
    <t>N° facture</t>
  </si>
  <si>
    <t>Date</t>
  </si>
  <si>
    <t>Nb
personnes</t>
  </si>
  <si>
    <t>Prestation</t>
  </si>
  <si>
    <t>Montant</t>
  </si>
  <si>
    <t>Réglé</t>
  </si>
  <si>
    <t>Solde</t>
  </si>
  <si>
    <t>A FAIRE</t>
  </si>
  <si>
    <t>Pension complète</t>
  </si>
  <si>
    <t>Chambre</t>
  </si>
  <si>
    <t>Demi-pension</t>
  </si>
  <si>
    <t>à relancer</t>
  </si>
  <si>
    <t>compte soldé</t>
  </si>
  <si>
    <t>Faire avoir</t>
  </si>
  <si>
    <t>Factures non soldées :</t>
  </si>
  <si>
    <t>Factures des Pensions complètes dont le montant est compris entre 100 et 200 :</t>
  </si>
  <si>
    <t>Total général</t>
  </si>
  <si>
    <t>Somme de Montant</t>
  </si>
  <si>
    <t>juin</t>
  </si>
  <si>
    <t>juil</t>
  </si>
  <si>
    <t>août</t>
  </si>
  <si>
    <t>05/00/2012</t>
  </si>
  <si>
    <t>09/00/2012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</si>
</sst>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0000"/>
    <numFmt numFmtId="165" formatCode="_-* #,##0.00\ [$€-1]_-;\-* #,##0.00\ [$€-1]_-;_-* &quot;-&quot;??\ [$€-1]_-"/>
    <numFmt numFmtId="166" formatCode="#,##0.00\ &quot;€&quot;"/>
  </numFmts>
  <fonts count="4" x14ac:knownFonts="1">
    <font>
      <sz val="10"/>
      <color theme="1"/>
      <name val="Arial"/>
      <family val="2"/>
    </font>
    <font>
      <sz val="11"/>
      <name val="Comic Sans MS"/>
      <family val="4"/>
    </font>
    <font>
      <b/>
      <sz val="11"/>
      <name val="Comic Sans MS"/>
      <family val="4"/>
    </font>
    <font>
      <b/>
      <sz val="11"/>
      <color rgb="FFFF0000"/>
      <name val="Comic Sans MS"/>
      <family val="4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7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164" fontId="1" fillId="0" borderId="0" xfId="0" applyNumberFormat="1" applyFont="1" applyFill="1" applyBorder="1" applyAlignment="1">
      <alignment horizontal="center"/>
    </xf>
    <xf numFmtId="14" fontId="1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 indent="1"/>
    </xf>
    <xf numFmtId="165" fontId="1" fillId="0" borderId="0" xfId="0" applyNumberFormat="1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/>
    </xf>
    <xf numFmtId="14" fontId="1" fillId="0" borderId="2" xfId="0" applyNumberFormat="1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left" indent="1"/>
    </xf>
    <xf numFmtId="165" fontId="1" fillId="0" borderId="2" xfId="0" applyNumberFormat="1" applyFont="1" applyFill="1" applyBorder="1"/>
    <xf numFmtId="0" fontId="1" fillId="0" borderId="3" xfId="0" applyFont="1" applyFill="1" applyBorder="1" applyAlignment="1">
      <alignment horizontal="left" indent="1"/>
    </xf>
    <xf numFmtId="164" fontId="1" fillId="0" borderId="4" xfId="0" applyNumberFormat="1" applyFont="1" applyFill="1" applyBorder="1" applyAlignment="1">
      <alignment horizontal="center"/>
    </xf>
    <xf numFmtId="14" fontId="1" fillId="0" borderId="5" xfId="0" applyNumberFormat="1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left" indent="1"/>
    </xf>
    <xf numFmtId="165" fontId="1" fillId="0" borderId="5" xfId="0" applyNumberFormat="1" applyFont="1" applyFill="1" applyBorder="1"/>
    <xf numFmtId="0" fontId="1" fillId="0" borderId="6" xfId="0" applyFont="1" applyFill="1" applyBorder="1" applyAlignment="1">
      <alignment horizontal="left" indent="1"/>
    </xf>
    <xf numFmtId="0" fontId="3" fillId="0" borderId="0" xfId="0" applyFont="1"/>
    <xf numFmtId="0" fontId="0" fillId="0" borderId="0" xfId="0" pivotButton="1"/>
    <xf numFmtId="1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mic Sans MS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mic Sans MS"/>
        <scheme val="none"/>
      </font>
      <numFmt numFmtId="165" formatCode="_-* #,##0.00\ [$€-1]_-;\-* #,##0.00\ [$€-1]_-;_-* &quot;-&quot;??\ [$€-1]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mic Sans MS"/>
        <scheme val="none"/>
      </font>
      <numFmt numFmtId="165" formatCode="_-* #,##0.00\ [$€-1]_-;\-* #,##0.00\ [$€-1]_-;_-* &quot;-&quot;??\ [$€-1]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mic Sans MS"/>
        <scheme val="none"/>
      </font>
      <numFmt numFmtId="165" formatCode="_-* #,##0.00\ [$€-1]_-;\-* #,##0.00\ [$€-1]_-;_-* &quot;-&quot;??\ [$€-1]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mic Sans MS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mic Sans MS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mic Sans MS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mic Sans MS"/>
        <scheme val="none"/>
      </font>
      <numFmt numFmtId="164" formatCode="00000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mic Sans MS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mic Sans M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relative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[6-1 Liste factures.xlsx]Corrigé Analyse!Tableau croisé dynamique3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'Corrigé Analyse'!$B$3:$B$4</c:f>
              <c:strCache>
                <c:ptCount val="1"/>
                <c:pt idx="0">
                  <c:v>Chambre</c:v>
                </c:pt>
              </c:strCache>
            </c:strRef>
          </c:tx>
          <c:invertIfNegative val="0"/>
          <c:cat>
            <c:strRef>
              <c:f>'Corrigé Analyse'!$A$5:$A$8</c:f>
              <c:strCache>
                <c:ptCount val="3"/>
                <c:pt idx="0">
                  <c:v>juin</c:v>
                </c:pt>
                <c:pt idx="1">
                  <c:v>juil</c:v>
                </c:pt>
                <c:pt idx="2">
                  <c:v>août</c:v>
                </c:pt>
              </c:strCache>
            </c:strRef>
          </c:cat>
          <c:val>
            <c:numRef>
              <c:f>'Corrigé Analyse'!$B$5:$B$8</c:f>
              <c:numCache>
                <c:formatCode>#\ ##0.00\ "€"</c:formatCode>
                <c:ptCount val="3"/>
                <c:pt idx="1">
                  <c:v>118.91000000000001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C4-4D7B-9DBD-B551109BE6DC}"/>
            </c:ext>
          </c:extLst>
        </c:ser>
        <c:ser>
          <c:idx val="1"/>
          <c:order val="1"/>
          <c:tx>
            <c:strRef>
              <c:f>'Corrigé Analyse'!$C$3:$C$4</c:f>
              <c:strCache>
                <c:ptCount val="1"/>
                <c:pt idx="0">
                  <c:v>Demi-pension</c:v>
                </c:pt>
              </c:strCache>
            </c:strRef>
          </c:tx>
          <c:invertIfNegative val="0"/>
          <c:cat>
            <c:strRef>
              <c:f>'Corrigé Analyse'!$A$5:$A$8</c:f>
              <c:strCache>
                <c:ptCount val="3"/>
                <c:pt idx="0">
                  <c:v>juin</c:v>
                </c:pt>
                <c:pt idx="1">
                  <c:v>juil</c:v>
                </c:pt>
                <c:pt idx="2">
                  <c:v>août</c:v>
                </c:pt>
              </c:strCache>
            </c:strRef>
          </c:cat>
          <c:val>
            <c:numRef>
              <c:f>'Corrigé Analyse'!$C$5:$C$8</c:f>
              <c:numCache>
                <c:formatCode>#\ ##0.00\ "€"</c:formatCode>
                <c:ptCount val="3"/>
                <c:pt idx="0">
                  <c:v>195.9</c:v>
                </c:pt>
                <c:pt idx="1">
                  <c:v>120.43</c:v>
                </c:pt>
                <c:pt idx="2">
                  <c:v>120.43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C4-4D7B-9DBD-B551109BE6DC}"/>
            </c:ext>
          </c:extLst>
        </c:ser>
        <c:ser>
          <c:idx val="2"/>
          <c:order val="2"/>
          <c:tx>
            <c:strRef>
              <c:f>'Corrigé Analyse'!$D$3:$D$4</c:f>
              <c:strCache>
                <c:ptCount val="1"/>
                <c:pt idx="0">
                  <c:v>Pension complète</c:v>
                </c:pt>
              </c:strCache>
            </c:strRef>
          </c:tx>
          <c:invertIfNegative val="0"/>
          <c:cat>
            <c:strRef>
              <c:f>'Corrigé Analyse'!$A$5:$A$8</c:f>
              <c:strCache>
                <c:ptCount val="3"/>
                <c:pt idx="0">
                  <c:v>juin</c:v>
                </c:pt>
                <c:pt idx="1">
                  <c:v>juil</c:v>
                </c:pt>
                <c:pt idx="2">
                  <c:v>août</c:v>
                </c:pt>
              </c:strCache>
            </c:strRef>
          </c:cat>
          <c:val>
            <c:numRef>
              <c:f>'Corrigé Analyse'!$D$5:$D$8</c:f>
              <c:numCache>
                <c:formatCode>#\ ##0.00\ "€"</c:formatCode>
                <c:ptCount val="3"/>
                <c:pt idx="0">
                  <c:v>387.97999999999996</c:v>
                </c:pt>
                <c:pt idx="1">
                  <c:v>188.27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C4-4D7B-9DBD-B551109BE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120779136"/>
        <c:axId val="120781056"/>
        <c:axId val="0"/>
      </c:bar3DChart>
      <c:catAx>
        <c:axId val="1207791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20781056"/>
        <c:crosses val="autoZero"/>
        <c:auto val="1"/>
        <c:lblAlgn val="ctr"/>
        <c:lblOffset val="100"/>
        <c:noMultiLvlLbl val="0"/>
      </c:catAx>
      <c:valAx>
        <c:axId val="120781056"/>
        <c:scaling>
          <c:orientation val="minMax"/>
        </c:scaling>
        <c:delete val="0"/>
        <c:axPos val="l"/>
        <c:majorGridlines/>
        <c:numFmt formatCode="#\ ##0.00\ &quot;€&quot;" sourceLinked="1"/>
        <c:majorTickMark val="out"/>
        <c:minorTickMark val="none"/>
        <c:tickLblPos val="nextTo"/>
        <c:crossAx val="1207791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9</xdr:row>
      <xdr:rowOff>19050</xdr:rowOff>
    </xdr:from>
    <xdr:to>
      <xdr:col>4</xdr:col>
      <xdr:colOff>47625</xdr:colOff>
      <xdr:row>26</xdr:row>
      <xdr:rowOff>9525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atherine Guérois" refreshedDate="39272.784299189814" createdVersion="3" refreshedVersion="3" minRefreshableVersion="3" recordCount="19">
  <cacheSource type="worksheet">
    <worksheetSource ref="A1:H20" sheet="Liste"/>
  </cacheSource>
  <cacheFields count="8">
    <cacheField name="N° facture" numFmtId="164">
      <sharedItems containsSemiMixedTypes="0" containsString="0" containsNumber="1" containsInteger="1" minValue="102" maxValue="120"/>
    </cacheField>
    <cacheField name="Date" numFmtId="14">
      <sharedItems containsSemiMixedTypes="0" containsNonDate="0" containsDate="1" containsString="0" minDate="2007-06-01T00:00:00" maxDate="2007-08-23T00:00:00" count="19">
        <d v="2007-06-01T00:00:00"/>
        <d v="2007-06-05T00:00:00"/>
        <d v="2007-06-09T00:00:00"/>
        <d v="2007-06-13T00:00:00"/>
        <d v="2007-06-17T00:00:00"/>
        <d v="2007-06-21T00:00:00"/>
        <d v="2007-06-25T00:00:00"/>
        <d v="2007-07-01T00:00:00"/>
        <d v="2007-07-06T00:00:00"/>
        <d v="2007-07-11T00:00:00"/>
        <d v="2007-07-16T00:00:00"/>
        <d v="2007-07-21T00:00:00"/>
        <d v="2007-07-26T00:00:00"/>
        <d v="2007-07-31T00:00:00"/>
        <d v="2007-08-01T00:00:00"/>
        <d v="2007-08-04T00:00:00"/>
        <d v="2007-08-10T00:00:00"/>
        <d v="2007-08-15T00:00:00"/>
        <d v="2007-08-22T00:00:00"/>
      </sharedItems>
      <fieldGroup base="1">
        <rangePr groupBy="months" startDate="2007-06-01T00:00:00" endDate="2007-08-23T00:00:00"/>
        <groupItems count="14">
          <s v="&lt;01/06/2007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23/08/2007"/>
        </groupItems>
      </fieldGroup>
    </cacheField>
    <cacheField name="Nb_x000a_personnes" numFmtId="0">
      <sharedItems containsSemiMixedTypes="0" containsString="0" containsNumber="1" containsInteger="1" minValue="1" maxValue="6"/>
    </cacheField>
    <cacheField name="Prestation" numFmtId="0">
      <sharedItems count="3">
        <s v="Pension complète"/>
        <s v="Chambre"/>
        <s v="Demi-pension"/>
      </sharedItems>
    </cacheField>
    <cacheField name="Montant" numFmtId="165">
      <sharedItems containsSemiMixedTypes="0" containsString="0" containsNumber="1" minValue="29.73" maxValue="293.45999999999998"/>
    </cacheField>
    <cacheField name="Réglé" numFmtId="165">
      <sharedItems containsString="0" containsBlank="1" containsNumber="1" minValue="29.73" maxValue="200"/>
    </cacheField>
    <cacheField name="Solde" numFmtId="165">
      <sharedItems containsSemiMixedTypes="0" containsString="0" containsNumber="1" minValue="-40.54" maxValue="293.45999999999998"/>
    </cacheField>
    <cacheField name="A FAIRE" numFmtId="0">
      <sharedItems count="3">
        <s v="compte soldé"/>
        <s v="Faire avoir"/>
        <s v="à relanc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">
  <r>
    <n v="102"/>
    <x v="0"/>
    <n v="2"/>
    <x v="0"/>
    <n v="188.27"/>
    <n v="188.27"/>
    <n v="0"/>
    <x v="0"/>
  </r>
  <r>
    <n v="103"/>
    <x v="1"/>
    <n v="2"/>
    <x v="1"/>
    <n v="59.46"/>
    <n v="100"/>
    <n v="-40.54"/>
    <x v="1"/>
  </r>
  <r>
    <n v="104"/>
    <x v="2"/>
    <n v="1"/>
    <x v="0"/>
    <n v="94.52"/>
    <m/>
    <n v="94.52"/>
    <x v="2"/>
  </r>
  <r>
    <n v="105"/>
    <x v="3"/>
    <n v="2"/>
    <x v="2"/>
    <n v="135.68"/>
    <m/>
    <n v="135.68"/>
    <x v="2"/>
  </r>
  <r>
    <n v="106"/>
    <x v="4"/>
    <n v="3"/>
    <x v="0"/>
    <n v="293.45999999999998"/>
    <m/>
    <n v="293.45999999999998"/>
    <x v="2"/>
  </r>
  <r>
    <n v="107"/>
    <x v="5"/>
    <n v="1"/>
    <x v="1"/>
    <n v="29.73"/>
    <n v="29.73"/>
    <n v="0"/>
    <x v="0"/>
  </r>
  <r>
    <n v="108"/>
    <x v="6"/>
    <n v="1"/>
    <x v="2"/>
    <n v="60.22"/>
    <m/>
    <n v="60.22"/>
    <x v="2"/>
  </r>
  <r>
    <n v="109"/>
    <x v="7"/>
    <n v="2"/>
    <x v="2"/>
    <n v="120.43"/>
    <m/>
    <n v="120.43"/>
    <x v="2"/>
  </r>
  <r>
    <n v="110"/>
    <x v="8"/>
    <n v="2"/>
    <x v="1"/>
    <n v="59.46"/>
    <n v="59.46"/>
    <n v="0"/>
    <x v="0"/>
  </r>
  <r>
    <n v="111"/>
    <x v="9"/>
    <n v="1"/>
    <x v="0"/>
    <n v="94.52"/>
    <n v="100"/>
    <n v="-5.480000000000004"/>
    <x v="1"/>
  </r>
  <r>
    <n v="112"/>
    <x v="10"/>
    <n v="1"/>
    <x v="1"/>
    <n v="29.73"/>
    <m/>
    <n v="29.73"/>
    <x v="2"/>
  </r>
  <r>
    <n v="113"/>
    <x v="11"/>
    <n v="1"/>
    <x v="2"/>
    <n v="68.599999999999994"/>
    <n v="68.599999999999994"/>
    <n v="0"/>
    <x v="0"/>
  </r>
  <r>
    <n v="114"/>
    <x v="12"/>
    <n v="2"/>
    <x v="0"/>
    <n v="188.27"/>
    <m/>
    <n v="188.27"/>
    <x v="2"/>
  </r>
  <r>
    <n v="115"/>
    <x v="13"/>
    <n v="6"/>
    <x v="1"/>
    <n v="89.18"/>
    <m/>
    <n v="89.18"/>
    <x v="2"/>
  </r>
  <r>
    <n v="116"/>
    <x v="14"/>
    <n v="2"/>
    <x v="2"/>
    <n v="120.43"/>
    <n v="120.43"/>
    <n v="0"/>
    <x v="0"/>
  </r>
  <r>
    <n v="117"/>
    <x v="15"/>
    <n v="4"/>
    <x v="1"/>
    <n v="118.91"/>
    <n v="118.91"/>
    <n v="0"/>
    <x v="0"/>
  </r>
  <r>
    <n v="118"/>
    <x v="16"/>
    <n v="2"/>
    <x v="0"/>
    <n v="188.27"/>
    <n v="188.27"/>
    <n v="0"/>
    <x v="0"/>
  </r>
  <r>
    <n v="119"/>
    <x v="17"/>
    <n v="2"/>
    <x v="2"/>
    <n v="120.43"/>
    <m/>
    <n v="120.43"/>
    <x v="2"/>
  </r>
  <r>
    <n v="120"/>
    <x v="18"/>
    <n v="2"/>
    <x v="0"/>
    <n v="188.27"/>
    <n v="200"/>
    <n v="-11.7299999999999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3" cacheId="0" applyNumberFormats="0" applyBorderFormats="0" applyFontFormats="0" applyPatternFormats="0" applyAlignmentFormats="0" applyWidthHeightFormats="1" dataCaption="Valeurs" updatedVersion="3" minRefreshableVersion="3" showCalcMbrs="0" useAutoFormatting="1" itemPrintTitles="1" createdVersion="3" indent="0" compact="0" outline="1" outlineData="1" compactData="0" multipleFieldFilters="0" chartFormat="1">
  <location ref="A3:E8" firstHeaderRow="1" firstDataRow="2" firstDataCol="1" rowPageCount="1" colPageCount="1"/>
  <pivotFields count="8">
    <pivotField compact="0" numFmtId="164" showAll="0"/>
    <pivotField axis="axisRow" compact="0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/>
    <pivotField axis="axisCol" compact="0" showAll="0">
      <items count="4">
        <item x="1"/>
        <item x="2"/>
        <item x="0"/>
        <item t="default"/>
      </items>
    </pivotField>
    <pivotField dataField="1" compact="0" numFmtId="165" showAll="0"/>
    <pivotField compact="0" showAll="0"/>
    <pivotField compact="0" numFmtId="165" showAll="0"/>
    <pivotField axis="axisPage" compact="0" multipleItemSelectionAllowed="1" showAll="0">
      <items count="4">
        <item x="2"/>
        <item h="1" x="0"/>
        <item h="1" x="1"/>
        <item t="default"/>
      </items>
    </pivotField>
  </pivotFields>
  <rowFields count="1">
    <field x="1"/>
  </rowFields>
  <rowItems count="4">
    <i>
      <x v="6"/>
    </i>
    <i>
      <x v="7"/>
    </i>
    <i>
      <x v="8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1">
    <pageField fld="7" hier="-1"/>
  </pageFields>
  <dataFields count="1">
    <dataField name="Somme de Montant" fld="4" baseField="0" baseItem="0" numFmtId="166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Medium13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au1" displayName="Tableau1" ref="A1:H20" totalsRowShown="0" headerRowDxfId="9" dataDxfId="8">
  <autoFilter ref="A1:H20"/>
  <tableColumns count="8">
    <tableColumn id="1" name="N° facture" dataDxfId="7"/>
    <tableColumn id="2" name="Date" dataDxfId="6"/>
    <tableColumn id="3" name="Nb_x000a_personnes" dataDxfId="5"/>
    <tableColumn id="4" name="Prestation" dataDxfId="4"/>
    <tableColumn id="5" name="Montant" dataDxfId="3"/>
    <tableColumn id="6" name="Réglé" dataDxfId="2"/>
    <tableColumn id="7" name="Solde" dataDxfId="1">
      <calculatedColumnFormula>E2-F2</calculatedColumnFormula>
    </tableColumn>
    <tableColumn id="8" name="A FAIRE" dataDxfId="0">
      <calculatedColumnFormula>IF(G2=0,"compte soldé",IF(G2&lt;0,"Faire avoir","à relancer"))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workbookViewId="0">
      <selection activeCell="K16" sqref="K16"/>
    </sheetView>
  </sheetViews>
  <sheetFormatPr baseColWidth="10" defaultRowHeight="12.75" x14ac:dyDescent="0.2"/>
  <cols>
    <col min="1" max="1" width="12.140625" bestFit="1" customWidth="1"/>
    <col min="2" max="2" width="14.5703125" customWidth="1"/>
    <col min="3" max="3" width="11.140625" bestFit="1" customWidth="1"/>
    <col min="4" max="4" width="19.85546875" bestFit="1" customWidth="1"/>
    <col min="5" max="7" width="16.42578125" customWidth="1"/>
    <col min="8" max="8" width="15.85546875" bestFit="1" customWidth="1"/>
  </cols>
  <sheetData>
    <row r="1" spans="1:8" ht="33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.5" x14ac:dyDescent="0.3">
      <c r="A2" s="3">
        <v>102</v>
      </c>
      <c r="B2" s="4">
        <v>40940</v>
      </c>
      <c r="C2" s="5">
        <v>2</v>
      </c>
      <c r="D2" s="6" t="s">
        <v>8</v>
      </c>
      <c r="E2" s="7">
        <v>188.27</v>
      </c>
      <c r="F2" s="7">
        <v>188.27</v>
      </c>
      <c r="G2" s="7"/>
      <c r="H2" s="6" t="str">
        <f t="shared" ref="H2:H20" si="0">IF(G2=0,"compte soldé",IF(G2&lt;0,"Faire avoir","à relancer"))</f>
        <v>compte soldé</v>
      </c>
    </row>
    <row r="3" spans="1:8" ht="16.5" x14ac:dyDescent="0.3">
      <c r="A3" s="3">
        <v>103</v>
      </c>
      <c r="B3" s="4" t="s">
        <v>21</v>
      </c>
      <c r="C3" s="5">
        <v>2</v>
      </c>
      <c r="D3" s="6" t="s">
        <v>9</v>
      </c>
      <c r="E3" s="7">
        <v>59.46</v>
      </c>
      <c r="F3" s="7">
        <v>100</v>
      </c>
      <c r="G3" s="7"/>
      <c r="H3" s="6" t="str">
        <f t="shared" si="0"/>
        <v>compte soldé</v>
      </c>
    </row>
    <row r="4" spans="1:8" ht="16.5" x14ac:dyDescent="0.3">
      <c r="A4" s="3">
        <v>104</v>
      </c>
      <c r="B4" s="4" t="s">
        <v>22</v>
      </c>
      <c r="C4" s="5">
        <v>1</v>
      </c>
      <c r="D4" s="6" t="s">
        <v>8</v>
      </c>
      <c r="E4" s="7">
        <v>94.52</v>
      </c>
      <c r="F4" s="7"/>
      <c r="G4" s="7"/>
      <c r="H4" s="6" t="str">
        <f t="shared" si="0"/>
        <v>compte soldé</v>
      </c>
    </row>
    <row r="5" spans="1:8" ht="16.5" x14ac:dyDescent="0.3">
      <c r="A5" s="3">
        <v>105</v>
      </c>
      <c r="B5" s="4">
        <v>40952</v>
      </c>
      <c r="C5" s="5">
        <v>2</v>
      </c>
      <c r="D5" s="6" t="s">
        <v>10</v>
      </c>
      <c r="E5" s="7">
        <v>135.68</v>
      </c>
      <c r="F5" s="7"/>
      <c r="G5" s="7"/>
      <c r="H5" s="6" t="str">
        <f t="shared" si="0"/>
        <v>compte soldé</v>
      </c>
    </row>
    <row r="6" spans="1:8" ht="16.5" x14ac:dyDescent="0.3">
      <c r="A6" s="3">
        <v>106</v>
      </c>
      <c r="B6" s="4">
        <v>40956</v>
      </c>
      <c r="C6" s="5">
        <v>3</v>
      </c>
      <c r="D6" s="6" t="s">
        <v>8</v>
      </c>
      <c r="E6" s="7">
        <v>293.45999999999998</v>
      </c>
      <c r="F6" s="7"/>
      <c r="G6" s="7"/>
      <c r="H6" s="6" t="str">
        <f t="shared" si="0"/>
        <v>compte soldé</v>
      </c>
    </row>
    <row r="7" spans="1:8" ht="16.5" x14ac:dyDescent="0.3">
      <c r="A7" s="3">
        <v>107</v>
      </c>
      <c r="B7" s="4">
        <v>40960</v>
      </c>
      <c r="C7" s="5">
        <v>1</v>
      </c>
      <c r="D7" s="6" t="s">
        <v>9</v>
      </c>
      <c r="E7" s="7">
        <v>29.73</v>
      </c>
      <c r="F7" s="7">
        <v>29.73</v>
      </c>
      <c r="G7" s="7"/>
      <c r="H7" s="6" t="str">
        <f t="shared" si="0"/>
        <v>compte soldé</v>
      </c>
    </row>
    <row r="8" spans="1:8" ht="16.5" x14ac:dyDescent="0.3">
      <c r="A8" s="3">
        <v>108</v>
      </c>
      <c r="B8" s="4">
        <v>40964</v>
      </c>
      <c r="C8" s="5">
        <v>1</v>
      </c>
      <c r="D8" s="6" t="s">
        <v>10</v>
      </c>
      <c r="E8" s="7">
        <v>60.22</v>
      </c>
      <c r="F8" s="7"/>
      <c r="G8" s="7"/>
      <c r="H8" s="6" t="str">
        <f t="shared" si="0"/>
        <v>compte soldé</v>
      </c>
    </row>
    <row r="9" spans="1:8" ht="16.5" x14ac:dyDescent="0.3">
      <c r="A9" s="3">
        <v>109</v>
      </c>
      <c r="B9" s="4">
        <v>40969</v>
      </c>
      <c r="C9" s="5">
        <v>2</v>
      </c>
      <c r="D9" s="6" t="s">
        <v>10</v>
      </c>
      <c r="E9" s="7">
        <v>120.43</v>
      </c>
      <c r="F9" s="7"/>
      <c r="G9" s="7"/>
      <c r="H9" s="6" t="str">
        <f t="shared" si="0"/>
        <v>compte soldé</v>
      </c>
    </row>
    <row r="10" spans="1:8" ht="16.5" x14ac:dyDescent="0.3">
      <c r="A10" s="3">
        <v>106</v>
      </c>
      <c r="B10" s="4">
        <v>40956</v>
      </c>
      <c r="C10" s="5">
        <v>3</v>
      </c>
      <c r="D10" s="6" t="s">
        <v>8</v>
      </c>
      <c r="E10" s="7">
        <v>293.45999999999998</v>
      </c>
      <c r="F10" s="7"/>
      <c r="G10" s="7"/>
      <c r="H10" s="6" t="str">
        <f t="shared" ref="H10" si="1">IF(G10=0,"compte soldé",IF(G10&lt;0,"Faire avoir","à relancer"))</f>
        <v>compte soldé</v>
      </c>
    </row>
    <row r="11" spans="1:8" ht="16.5" x14ac:dyDescent="0.3">
      <c r="A11" s="3">
        <v>111</v>
      </c>
      <c r="B11" s="4">
        <v>40979</v>
      </c>
      <c r="C11" s="5">
        <v>1</v>
      </c>
      <c r="D11" s="6" t="s">
        <v>8</v>
      </c>
      <c r="E11" s="7">
        <v>94.52</v>
      </c>
      <c r="F11" s="7">
        <v>100</v>
      </c>
      <c r="G11" s="7"/>
      <c r="H11" s="6" t="str">
        <f t="shared" si="0"/>
        <v>compte soldé</v>
      </c>
    </row>
    <row r="12" spans="1:8" ht="16.5" x14ac:dyDescent="0.3">
      <c r="A12" s="3">
        <v>112</v>
      </c>
      <c r="B12" s="4">
        <v>40984</v>
      </c>
      <c r="C12" s="5">
        <v>1</v>
      </c>
      <c r="D12" s="6" t="s">
        <v>9</v>
      </c>
      <c r="E12" s="7">
        <v>29.73</v>
      </c>
      <c r="F12" s="7"/>
      <c r="G12" s="7"/>
      <c r="H12" s="6" t="str">
        <f t="shared" si="0"/>
        <v>compte soldé</v>
      </c>
    </row>
    <row r="13" spans="1:8" ht="16.5" x14ac:dyDescent="0.3">
      <c r="A13" s="3">
        <v>113</v>
      </c>
      <c r="B13" s="4">
        <v>40989</v>
      </c>
      <c r="C13" s="5">
        <v>1</v>
      </c>
      <c r="D13" s="6" t="s">
        <v>10</v>
      </c>
      <c r="E13" s="7">
        <v>68.599999999999994</v>
      </c>
      <c r="F13" s="7">
        <v>68.599999999999994</v>
      </c>
      <c r="G13" s="7"/>
      <c r="H13" s="6" t="str">
        <f t="shared" si="0"/>
        <v>compte soldé</v>
      </c>
    </row>
    <row r="14" spans="1:8" ht="16.5" x14ac:dyDescent="0.3">
      <c r="A14" s="3">
        <v>114</v>
      </c>
      <c r="B14" s="4">
        <v>40994</v>
      </c>
      <c r="C14" s="5">
        <v>2</v>
      </c>
      <c r="D14" s="6" t="s">
        <v>8</v>
      </c>
      <c r="E14" s="7">
        <v>188.27</v>
      </c>
      <c r="F14" s="7"/>
      <c r="G14" s="7"/>
      <c r="H14" s="6" t="str">
        <f t="shared" si="0"/>
        <v>compte soldé</v>
      </c>
    </row>
    <row r="15" spans="1:8" ht="16.5" x14ac:dyDescent="0.3">
      <c r="A15" s="3">
        <v>115</v>
      </c>
      <c r="B15" s="4">
        <v>40999</v>
      </c>
      <c r="C15" s="5">
        <v>6</v>
      </c>
      <c r="D15" s="6" t="s">
        <v>9</v>
      </c>
      <c r="E15" s="7">
        <v>89.18</v>
      </c>
      <c r="F15" s="7"/>
      <c r="G15" s="7"/>
      <c r="H15" s="6" t="str">
        <f t="shared" si="0"/>
        <v>compte soldé</v>
      </c>
    </row>
    <row r="16" spans="1:8" ht="16.5" x14ac:dyDescent="0.3">
      <c r="A16" s="3">
        <v>116</v>
      </c>
      <c r="B16" s="4">
        <v>41000</v>
      </c>
      <c r="C16" s="5">
        <v>2</v>
      </c>
      <c r="D16" s="6" t="s">
        <v>10</v>
      </c>
      <c r="E16" s="7">
        <v>120.43</v>
      </c>
      <c r="F16" s="7">
        <v>120.43</v>
      </c>
      <c r="G16" s="7"/>
      <c r="H16" s="6" t="str">
        <f t="shared" si="0"/>
        <v>compte soldé</v>
      </c>
    </row>
    <row r="17" spans="1:8" ht="16.5" x14ac:dyDescent="0.3">
      <c r="A17" s="3">
        <v>117</v>
      </c>
      <c r="B17" s="4">
        <v>41003</v>
      </c>
      <c r="C17" s="5">
        <v>4</v>
      </c>
      <c r="D17" s="6" t="s">
        <v>9</v>
      </c>
      <c r="E17" s="7">
        <v>118.91</v>
      </c>
      <c r="F17" s="7">
        <v>118.91</v>
      </c>
      <c r="G17" s="7"/>
      <c r="H17" s="6" t="str">
        <f t="shared" si="0"/>
        <v>compte soldé</v>
      </c>
    </row>
    <row r="18" spans="1:8" ht="16.5" x14ac:dyDescent="0.3">
      <c r="A18" s="3">
        <v>118</v>
      </c>
      <c r="B18" s="4">
        <v>41009</v>
      </c>
      <c r="C18" s="5">
        <v>2</v>
      </c>
      <c r="D18" s="6" t="s">
        <v>8</v>
      </c>
      <c r="E18" s="7">
        <v>188.27</v>
      </c>
      <c r="F18" s="7">
        <v>188.27</v>
      </c>
      <c r="G18" s="7"/>
      <c r="H18" s="6" t="str">
        <f t="shared" si="0"/>
        <v>compte soldé</v>
      </c>
    </row>
    <row r="19" spans="1:8" ht="16.5" x14ac:dyDescent="0.3">
      <c r="A19" s="3">
        <v>119</v>
      </c>
      <c r="B19" s="4">
        <v>41014</v>
      </c>
      <c r="C19" s="5">
        <v>2</v>
      </c>
      <c r="D19" s="6" t="s">
        <v>10</v>
      </c>
      <c r="E19" s="7">
        <v>120.43</v>
      </c>
      <c r="F19" s="7"/>
      <c r="G19" s="7"/>
      <c r="H19" s="6" t="str">
        <f t="shared" si="0"/>
        <v>compte soldé</v>
      </c>
    </row>
    <row r="20" spans="1:8" ht="16.5" x14ac:dyDescent="0.3">
      <c r="A20" s="3">
        <v>120</v>
      </c>
      <c r="B20" s="4">
        <v>41021</v>
      </c>
      <c r="C20" s="5">
        <v>2</v>
      </c>
      <c r="D20" s="6" t="s">
        <v>8</v>
      </c>
      <c r="E20" s="7">
        <v>188.27</v>
      </c>
      <c r="F20" s="7">
        <v>200</v>
      </c>
      <c r="G20" s="7"/>
      <c r="H20" s="6" t="str">
        <f t="shared" si="0"/>
        <v>compte soldé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/>
  </sheetViews>
  <sheetFormatPr baseColWidth="10" defaultRowHeight="12.75" x14ac:dyDescent="0.2"/>
  <cols>
    <col min="1" max="1" width="14" customWidth="1"/>
    <col min="2" max="2" width="13.85546875" bestFit="1" customWidth="1"/>
    <col min="3" max="3" width="11.140625" bestFit="1" customWidth="1"/>
    <col min="4" max="4" width="19.85546875" bestFit="1" customWidth="1"/>
    <col min="5" max="7" width="11.85546875" bestFit="1" customWidth="1"/>
    <col min="8" max="8" width="15.85546875" bestFit="1" customWidth="1"/>
  </cols>
  <sheetData>
    <row r="1" spans="1:8" ht="33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.5" x14ac:dyDescent="0.3">
      <c r="A2" s="3">
        <v>102</v>
      </c>
      <c r="B2" s="4">
        <v>39234</v>
      </c>
      <c r="C2" s="5">
        <v>2</v>
      </c>
      <c r="D2" s="6" t="s">
        <v>8</v>
      </c>
      <c r="E2" s="7">
        <v>188.27</v>
      </c>
      <c r="F2" s="7">
        <v>188.27</v>
      </c>
      <c r="G2" s="7">
        <f t="shared" ref="G2:G20" si="0">E2-F2</f>
        <v>0</v>
      </c>
      <c r="H2" s="6" t="str">
        <f t="shared" ref="H2:H20" si="1">IF(G2=0,"compte soldé",IF(G2&lt;0,"Faire avoir","à relancer"))</f>
        <v>compte soldé</v>
      </c>
    </row>
    <row r="3" spans="1:8" ht="16.5" x14ac:dyDescent="0.3">
      <c r="A3" s="3">
        <v>103</v>
      </c>
      <c r="B3" s="4">
        <v>39238</v>
      </c>
      <c r="C3" s="5">
        <v>2</v>
      </c>
      <c r="D3" s="6" t="s">
        <v>9</v>
      </c>
      <c r="E3" s="7">
        <v>59.46</v>
      </c>
      <c r="F3" s="7">
        <v>100</v>
      </c>
      <c r="G3" s="7">
        <f t="shared" si="0"/>
        <v>-40.54</v>
      </c>
      <c r="H3" s="6" t="str">
        <f t="shared" si="1"/>
        <v>Faire avoir</v>
      </c>
    </row>
    <row r="4" spans="1:8" ht="16.5" x14ac:dyDescent="0.3">
      <c r="A4" s="3">
        <v>104</v>
      </c>
      <c r="B4" s="4">
        <v>39242</v>
      </c>
      <c r="C4" s="5">
        <v>1</v>
      </c>
      <c r="D4" s="6" t="s">
        <v>8</v>
      </c>
      <c r="E4" s="7">
        <v>94.52</v>
      </c>
      <c r="F4" s="7"/>
      <c r="G4" s="7">
        <f t="shared" si="0"/>
        <v>94.52</v>
      </c>
      <c r="H4" s="6" t="str">
        <f t="shared" si="1"/>
        <v>à relancer</v>
      </c>
    </row>
    <row r="5" spans="1:8" ht="16.5" x14ac:dyDescent="0.3">
      <c r="A5" s="3">
        <v>105</v>
      </c>
      <c r="B5" s="4">
        <v>39246</v>
      </c>
      <c r="C5" s="5">
        <v>2</v>
      </c>
      <c r="D5" s="6" t="s">
        <v>10</v>
      </c>
      <c r="E5" s="7">
        <v>135.68</v>
      </c>
      <c r="F5" s="7"/>
      <c r="G5" s="7">
        <f t="shared" si="0"/>
        <v>135.68</v>
      </c>
      <c r="H5" s="6" t="str">
        <f t="shared" si="1"/>
        <v>à relancer</v>
      </c>
    </row>
    <row r="6" spans="1:8" ht="16.5" x14ac:dyDescent="0.3">
      <c r="A6" s="3">
        <v>106</v>
      </c>
      <c r="B6" s="4">
        <v>39250</v>
      </c>
      <c r="C6" s="5">
        <v>3</v>
      </c>
      <c r="D6" s="6" t="s">
        <v>8</v>
      </c>
      <c r="E6" s="7">
        <v>293.45999999999998</v>
      </c>
      <c r="F6" s="7"/>
      <c r="G6" s="7">
        <f t="shared" si="0"/>
        <v>293.45999999999998</v>
      </c>
      <c r="H6" s="6" t="str">
        <f t="shared" si="1"/>
        <v>à relancer</v>
      </c>
    </row>
    <row r="7" spans="1:8" ht="16.5" x14ac:dyDescent="0.3">
      <c r="A7" s="3">
        <v>107</v>
      </c>
      <c r="B7" s="4">
        <v>39254</v>
      </c>
      <c r="C7" s="5">
        <v>1</v>
      </c>
      <c r="D7" s="6" t="s">
        <v>9</v>
      </c>
      <c r="E7" s="7">
        <v>29.73</v>
      </c>
      <c r="F7" s="7">
        <v>29.73</v>
      </c>
      <c r="G7" s="7">
        <f t="shared" si="0"/>
        <v>0</v>
      </c>
      <c r="H7" s="6" t="str">
        <f t="shared" si="1"/>
        <v>compte soldé</v>
      </c>
    </row>
    <row r="8" spans="1:8" ht="16.5" x14ac:dyDescent="0.3">
      <c r="A8" s="3">
        <v>108</v>
      </c>
      <c r="B8" s="4">
        <v>39258</v>
      </c>
      <c r="C8" s="5">
        <v>1</v>
      </c>
      <c r="D8" s="6" t="s">
        <v>10</v>
      </c>
      <c r="E8" s="7">
        <v>60.22</v>
      </c>
      <c r="F8" s="7"/>
      <c r="G8" s="7">
        <f t="shared" si="0"/>
        <v>60.22</v>
      </c>
      <c r="H8" s="6" t="str">
        <f t="shared" si="1"/>
        <v>à relancer</v>
      </c>
    </row>
    <row r="9" spans="1:8" ht="16.5" x14ac:dyDescent="0.3">
      <c r="A9" s="3">
        <v>109</v>
      </c>
      <c r="B9" s="4">
        <v>39264</v>
      </c>
      <c r="C9" s="5">
        <v>2</v>
      </c>
      <c r="D9" s="6" t="s">
        <v>10</v>
      </c>
      <c r="E9" s="7">
        <v>120.43</v>
      </c>
      <c r="F9" s="7"/>
      <c r="G9" s="7">
        <f t="shared" si="0"/>
        <v>120.43</v>
      </c>
      <c r="H9" s="6" t="str">
        <f t="shared" si="1"/>
        <v>à relancer</v>
      </c>
    </row>
    <row r="10" spans="1:8" ht="16.5" x14ac:dyDescent="0.3">
      <c r="A10" s="3">
        <v>110</v>
      </c>
      <c r="B10" s="4">
        <v>39269</v>
      </c>
      <c r="C10" s="5">
        <v>2</v>
      </c>
      <c r="D10" s="6" t="s">
        <v>9</v>
      </c>
      <c r="E10" s="7">
        <v>59.46</v>
      </c>
      <c r="F10" s="7">
        <v>59.46</v>
      </c>
      <c r="G10" s="7">
        <f t="shared" si="0"/>
        <v>0</v>
      </c>
      <c r="H10" s="6" t="str">
        <f t="shared" si="1"/>
        <v>compte soldé</v>
      </c>
    </row>
    <row r="11" spans="1:8" ht="16.5" x14ac:dyDescent="0.3">
      <c r="A11" s="3">
        <v>111</v>
      </c>
      <c r="B11" s="4">
        <v>39274</v>
      </c>
      <c r="C11" s="5">
        <v>1</v>
      </c>
      <c r="D11" s="6" t="s">
        <v>8</v>
      </c>
      <c r="E11" s="7">
        <v>94.52</v>
      </c>
      <c r="F11" s="7">
        <v>100</v>
      </c>
      <c r="G11" s="7">
        <f t="shared" si="0"/>
        <v>-5.480000000000004</v>
      </c>
      <c r="H11" s="6" t="str">
        <f t="shared" si="1"/>
        <v>Faire avoir</v>
      </c>
    </row>
    <row r="12" spans="1:8" ht="16.5" x14ac:dyDescent="0.3">
      <c r="A12" s="3">
        <v>112</v>
      </c>
      <c r="B12" s="4">
        <v>39279</v>
      </c>
      <c r="C12" s="5">
        <v>1</v>
      </c>
      <c r="D12" s="6" t="s">
        <v>9</v>
      </c>
      <c r="E12" s="7">
        <v>29.73</v>
      </c>
      <c r="F12" s="7"/>
      <c r="G12" s="7">
        <f t="shared" si="0"/>
        <v>29.73</v>
      </c>
      <c r="H12" s="6" t="str">
        <f t="shared" si="1"/>
        <v>à relancer</v>
      </c>
    </row>
    <row r="13" spans="1:8" ht="16.5" x14ac:dyDescent="0.3">
      <c r="A13" s="3">
        <v>113</v>
      </c>
      <c r="B13" s="4">
        <v>39284</v>
      </c>
      <c r="C13" s="5">
        <v>1</v>
      </c>
      <c r="D13" s="6" t="s">
        <v>10</v>
      </c>
      <c r="E13" s="7">
        <v>68.599999999999994</v>
      </c>
      <c r="F13" s="7">
        <v>68.599999999999994</v>
      </c>
      <c r="G13" s="7">
        <f t="shared" si="0"/>
        <v>0</v>
      </c>
      <c r="H13" s="6" t="str">
        <f t="shared" si="1"/>
        <v>compte soldé</v>
      </c>
    </row>
    <row r="14" spans="1:8" ht="16.5" x14ac:dyDescent="0.3">
      <c r="A14" s="3">
        <v>114</v>
      </c>
      <c r="B14" s="4">
        <v>39289</v>
      </c>
      <c r="C14" s="5">
        <v>2</v>
      </c>
      <c r="D14" s="6" t="s">
        <v>8</v>
      </c>
      <c r="E14" s="7">
        <v>188.27</v>
      </c>
      <c r="F14" s="7"/>
      <c r="G14" s="7">
        <f t="shared" si="0"/>
        <v>188.27</v>
      </c>
      <c r="H14" s="6" t="str">
        <f t="shared" si="1"/>
        <v>à relancer</v>
      </c>
    </row>
    <row r="15" spans="1:8" ht="16.5" x14ac:dyDescent="0.3">
      <c r="A15" s="3">
        <v>115</v>
      </c>
      <c r="B15" s="4">
        <v>39294</v>
      </c>
      <c r="C15" s="5">
        <v>6</v>
      </c>
      <c r="D15" s="6" t="s">
        <v>9</v>
      </c>
      <c r="E15" s="7">
        <v>89.18</v>
      </c>
      <c r="F15" s="7"/>
      <c r="G15" s="7">
        <f t="shared" si="0"/>
        <v>89.18</v>
      </c>
      <c r="H15" s="6" t="str">
        <f t="shared" si="1"/>
        <v>à relancer</v>
      </c>
    </row>
    <row r="16" spans="1:8" ht="16.5" x14ac:dyDescent="0.3">
      <c r="A16" s="3">
        <v>116</v>
      </c>
      <c r="B16" s="4">
        <v>39295</v>
      </c>
      <c r="C16" s="5">
        <v>2</v>
      </c>
      <c r="D16" s="6" t="s">
        <v>10</v>
      </c>
      <c r="E16" s="7">
        <v>120.43</v>
      </c>
      <c r="F16" s="7">
        <v>120.43</v>
      </c>
      <c r="G16" s="7">
        <f t="shared" si="0"/>
        <v>0</v>
      </c>
      <c r="H16" s="6" t="str">
        <f t="shared" si="1"/>
        <v>compte soldé</v>
      </c>
    </row>
    <row r="17" spans="1:8" ht="16.5" x14ac:dyDescent="0.3">
      <c r="A17" s="3">
        <v>117</v>
      </c>
      <c r="B17" s="4">
        <v>39298</v>
      </c>
      <c r="C17" s="5">
        <v>4</v>
      </c>
      <c r="D17" s="6" t="s">
        <v>9</v>
      </c>
      <c r="E17" s="7">
        <v>118.91</v>
      </c>
      <c r="F17" s="7">
        <v>118.91</v>
      </c>
      <c r="G17" s="7">
        <f t="shared" si="0"/>
        <v>0</v>
      </c>
      <c r="H17" s="6" t="str">
        <f t="shared" si="1"/>
        <v>compte soldé</v>
      </c>
    </row>
    <row r="18" spans="1:8" ht="16.5" x14ac:dyDescent="0.3">
      <c r="A18" s="3">
        <v>118</v>
      </c>
      <c r="B18" s="4">
        <v>39304</v>
      </c>
      <c r="C18" s="5">
        <v>2</v>
      </c>
      <c r="D18" s="6" t="s">
        <v>8</v>
      </c>
      <c r="E18" s="7">
        <v>188.27</v>
      </c>
      <c r="F18" s="7">
        <v>188.27</v>
      </c>
      <c r="G18" s="7">
        <f t="shared" si="0"/>
        <v>0</v>
      </c>
      <c r="H18" s="6" t="str">
        <f t="shared" si="1"/>
        <v>compte soldé</v>
      </c>
    </row>
    <row r="19" spans="1:8" ht="16.5" x14ac:dyDescent="0.3">
      <c r="A19" s="3">
        <v>119</v>
      </c>
      <c r="B19" s="4">
        <v>39309</v>
      </c>
      <c r="C19" s="5">
        <v>2</v>
      </c>
      <c r="D19" s="6" t="s">
        <v>10</v>
      </c>
      <c r="E19" s="7">
        <v>120.43</v>
      </c>
      <c r="F19" s="7"/>
      <c r="G19" s="7">
        <f t="shared" si="0"/>
        <v>120.43</v>
      </c>
      <c r="H19" s="6" t="str">
        <f t="shared" si="1"/>
        <v>à relancer</v>
      </c>
    </row>
    <row r="20" spans="1:8" ht="16.5" x14ac:dyDescent="0.3">
      <c r="A20" s="3">
        <v>120</v>
      </c>
      <c r="B20" s="4">
        <v>39316</v>
      </c>
      <c r="C20" s="5">
        <v>2</v>
      </c>
      <c r="D20" s="6" t="s">
        <v>8</v>
      </c>
      <c r="E20" s="7">
        <v>188.27</v>
      </c>
      <c r="F20" s="7">
        <v>200</v>
      </c>
      <c r="G20" s="7">
        <f t="shared" si="0"/>
        <v>-11.72999999999999</v>
      </c>
      <c r="H20" s="6" t="str">
        <f t="shared" si="1"/>
        <v>Faire avoir</v>
      </c>
    </row>
    <row r="22" spans="1:8" ht="18" x14ac:dyDescent="0.35">
      <c r="A22" s="24" t="s">
        <v>14</v>
      </c>
    </row>
    <row r="23" spans="1:8" ht="36" x14ac:dyDescent="0.2">
      <c r="A23" s="8" t="s">
        <v>0</v>
      </c>
      <c r="B23" s="9" t="s">
        <v>1</v>
      </c>
      <c r="C23" s="10" t="s">
        <v>2</v>
      </c>
      <c r="D23" s="9" t="s">
        <v>3</v>
      </c>
      <c r="E23" s="9" t="s">
        <v>4</v>
      </c>
      <c r="F23" s="9" t="s">
        <v>5</v>
      </c>
      <c r="G23" s="9" t="s">
        <v>6</v>
      </c>
      <c r="H23" s="11" t="s">
        <v>7</v>
      </c>
    </row>
    <row r="24" spans="1:8" ht="16.5" x14ac:dyDescent="0.3">
      <c r="A24" s="12">
        <v>104</v>
      </c>
      <c r="B24" s="13">
        <v>39242</v>
      </c>
      <c r="C24" s="14">
        <v>1</v>
      </c>
      <c r="D24" s="15" t="s">
        <v>8</v>
      </c>
      <c r="E24" s="16">
        <v>94.52</v>
      </c>
      <c r="F24" s="16"/>
      <c r="G24" s="16">
        <v>94.52</v>
      </c>
      <c r="H24" s="17" t="s">
        <v>11</v>
      </c>
    </row>
    <row r="25" spans="1:8" ht="16.5" x14ac:dyDescent="0.3">
      <c r="A25" s="12">
        <v>105</v>
      </c>
      <c r="B25" s="13">
        <v>39246</v>
      </c>
      <c r="C25" s="14">
        <v>2</v>
      </c>
      <c r="D25" s="15" t="s">
        <v>10</v>
      </c>
      <c r="E25" s="16">
        <v>135.68</v>
      </c>
      <c r="F25" s="16"/>
      <c r="G25" s="16">
        <v>135.68</v>
      </c>
      <c r="H25" s="17" t="s">
        <v>11</v>
      </c>
    </row>
    <row r="26" spans="1:8" ht="16.5" x14ac:dyDescent="0.3">
      <c r="A26" s="12">
        <v>106</v>
      </c>
      <c r="B26" s="13">
        <v>39250</v>
      </c>
      <c r="C26" s="14">
        <v>3</v>
      </c>
      <c r="D26" s="15" t="s">
        <v>8</v>
      </c>
      <c r="E26" s="16">
        <v>293.45999999999998</v>
      </c>
      <c r="F26" s="16"/>
      <c r="G26" s="16">
        <v>293.45999999999998</v>
      </c>
      <c r="H26" s="17" t="s">
        <v>11</v>
      </c>
    </row>
    <row r="27" spans="1:8" ht="16.5" x14ac:dyDescent="0.3">
      <c r="A27" s="12">
        <v>108</v>
      </c>
      <c r="B27" s="13">
        <v>39258</v>
      </c>
      <c r="C27" s="14">
        <v>1</v>
      </c>
      <c r="D27" s="15" t="s">
        <v>10</v>
      </c>
      <c r="E27" s="16">
        <v>60.22</v>
      </c>
      <c r="F27" s="16"/>
      <c r="G27" s="16">
        <v>60.22</v>
      </c>
      <c r="H27" s="17" t="s">
        <v>11</v>
      </c>
    </row>
    <row r="28" spans="1:8" ht="16.5" x14ac:dyDescent="0.3">
      <c r="A28" s="12">
        <v>109</v>
      </c>
      <c r="B28" s="13">
        <v>39264</v>
      </c>
      <c r="C28" s="14">
        <v>2</v>
      </c>
      <c r="D28" s="15" t="s">
        <v>10</v>
      </c>
      <c r="E28" s="16">
        <v>120.43</v>
      </c>
      <c r="F28" s="16"/>
      <c r="G28" s="16">
        <v>120.43</v>
      </c>
      <c r="H28" s="17" t="s">
        <v>11</v>
      </c>
    </row>
    <row r="29" spans="1:8" ht="16.5" x14ac:dyDescent="0.3">
      <c r="A29" s="12">
        <v>112</v>
      </c>
      <c r="B29" s="13">
        <v>39279</v>
      </c>
      <c r="C29" s="14">
        <v>1</v>
      </c>
      <c r="D29" s="15" t="s">
        <v>9</v>
      </c>
      <c r="E29" s="16">
        <v>29.73</v>
      </c>
      <c r="F29" s="16"/>
      <c r="G29" s="16">
        <v>29.73</v>
      </c>
      <c r="H29" s="17" t="s">
        <v>11</v>
      </c>
    </row>
    <row r="30" spans="1:8" ht="16.5" x14ac:dyDescent="0.3">
      <c r="A30" s="12">
        <v>114</v>
      </c>
      <c r="B30" s="13">
        <v>39289</v>
      </c>
      <c r="C30" s="14">
        <v>2</v>
      </c>
      <c r="D30" s="15" t="s">
        <v>8</v>
      </c>
      <c r="E30" s="16">
        <v>188.27</v>
      </c>
      <c r="F30" s="16"/>
      <c r="G30" s="16">
        <v>188.27</v>
      </c>
      <c r="H30" s="17" t="s">
        <v>11</v>
      </c>
    </row>
    <row r="31" spans="1:8" ht="16.5" x14ac:dyDescent="0.3">
      <c r="A31" s="12">
        <v>115</v>
      </c>
      <c r="B31" s="13">
        <v>39294</v>
      </c>
      <c r="C31" s="14">
        <v>6</v>
      </c>
      <c r="D31" s="15" t="s">
        <v>9</v>
      </c>
      <c r="E31" s="16">
        <v>89.18</v>
      </c>
      <c r="F31" s="16"/>
      <c r="G31" s="16">
        <v>89.18</v>
      </c>
      <c r="H31" s="17" t="s">
        <v>11</v>
      </c>
    </row>
    <row r="32" spans="1:8" ht="16.5" x14ac:dyDescent="0.3">
      <c r="A32" s="12">
        <v>119</v>
      </c>
      <c r="B32" s="13">
        <v>39309</v>
      </c>
      <c r="C32" s="14">
        <v>2</v>
      </c>
      <c r="D32" s="15" t="s">
        <v>10</v>
      </c>
      <c r="E32" s="16">
        <v>120.43</v>
      </c>
      <c r="F32" s="16"/>
      <c r="G32" s="16">
        <v>120.43</v>
      </c>
      <c r="H32" s="17" t="s">
        <v>11</v>
      </c>
    </row>
    <row r="34" spans="1:8" ht="18" x14ac:dyDescent="0.35">
      <c r="A34" s="24" t="s">
        <v>15</v>
      </c>
    </row>
    <row r="35" spans="1:8" ht="36" x14ac:dyDescent="0.2">
      <c r="A35" s="8" t="s">
        <v>0</v>
      </c>
      <c r="B35" s="9" t="s">
        <v>1</v>
      </c>
      <c r="C35" s="10" t="s">
        <v>2</v>
      </c>
      <c r="D35" s="9" t="s">
        <v>3</v>
      </c>
      <c r="E35" s="9" t="s">
        <v>4</v>
      </c>
      <c r="F35" s="9" t="s">
        <v>5</v>
      </c>
      <c r="G35" s="9" t="s">
        <v>6</v>
      </c>
      <c r="H35" s="11" t="s">
        <v>7</v>
      </c>
    </row>
    <row r="36" spans="1:8" ht="16.5" x14ac:dyDescent="0.3">
      <c r="A36" s="12">
        <v>102</v>
      </c>
      <c r="B36" s="13">
        <v>39234</v>
      </c>
      <c r="C36" s="14">
        <v>2</v>
      </c>
      <c r="D36" s="15" t="s">
        <v>8</v>
      </c>
      <c r="E36" s="16">
        <v>188.27</v>
      </c>
      <c r="F36" s="16">
        <v>188.27</v>
      </c>
      <c r="G36" s="16">
        <v>0</v>
      </c>
      <c r="H36" s="17" t="s">
        <v>12</v>
      </c>
    </row>
    <row r="37" spans="1:8" ht="16.5" x14ac:dyDescent="0.3">
      <c r="A37" s="12">
        <v>114</v>
      </c>
      <c r="B37" s="13">
        <v>39289</v>
      </c>
      <c r="C37" s="14">
        <v>2</v>
      </c>
      <c r="D37" s="15" t="s">
        <v>8</v>
      </c>
      <c r="E37" s="16">
        <v>188.27</v>
      </c>
      <c r="F37" s="16"/>
      <c r="G37" s="16">
        <v>188.27</v>
      </c>
      <c r="H37" s="17" t="s">
        <v>11</v>
      </c>
    </row>
    <row r="38" spans="1:8" ht="16.5" x14ac:dyDescent="0.3">
      <c r="A38" s="12">
        <v>118</v>
      </c>
      <c r="B38" s="13">
        <v>39304</v>
      </c>
      <c r="C38" s="14">
        <v>2</v>
      </c>
      <c r="D38" s="15" t="s">
        <v>8</v>
      </c>
      <c r="E38" s="16">
        <v>188.27</v>
      </c>
      <c r="F38" s="16">
        <v>188.27</v>
      </c>
      <c r="G38" s="16">
        <v>0</v>
      </c>
      <c r="H38" s="17" t="s">
        <v>12</v>
      </c>
    </row>
    <row r="39" spans="1:8" ht="16.5" x14ac:dyDescent="0.3">
      <c r="A39" s="18">
        <v>120</v>
      </c>
      <c r="B39" s="19">
        <v>39316</v>
      </c>
      <c r="C39" s="20">
        <v>2</v>
      </c>
      <c r="D39" s="21" t="s">
        <v>8</v>
      </c>
      <c r="E39" s="22">
        <v>188.27</v>
      </c>
      <c r="F39" s="22">
        <v>200</v>
      </c>
      <c r="G39" s="22">
        <v>-11.72999999999999</v>
      </c>
      <c r="H39" s="23" t="s">
        <v>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baseColWidth="10" defaultRowHeight="12.75" x14ac:dyDescent="0.2"/>
  <cols>
    <col min="1" max="1" width="18.85546875" bestFit="1" customWidth="1"/>
    <col min="2" max="4" width="17.42578125" bestFit="1" customWidth="1"/>
    <col min="5" max="5" width="13.140625" bestFit="1" customWidth="1"/>
  </cols>
  <sheetData>
    <row r="1" spans="1:5" x14ac:dyDescent="0.2">
      <c r="A1" s="25" t="s">
        <v>7</v>
      </c>
      <c r="B1" t="s">
        <v>11</v>
      </c>
    </row>
    <row r="3" spans="1:5" x14ac:dyDescent="0.2">
      <c r="A3" s="25" t="s">
        <v>17</v>
      </c>
      <c r="B3" s="25" t="s">
        <v>3</v>
      </c>
    </row>
    <row r="4" spans="1:5" x14ac:dyDescent="0.2">
      <c r="A4" s="25" t="s">
        <v>1</v>
      </c>
      <c r="B4" t="s">
        <v>9</v>
      </c>
      <c r="C4" t="s">
        <v>10</v>
      </c>
      <c r="D4" t="s">
        <v>8</v>
      </c>
      <c r="E4" t="s">
        <v>16</v>
      </c>
    </row>
    <row r="5" spans="1:5" x14ac:dyDescent="0.2">
      <c r="A5" s="26" t="s">
        <v>18</v>
      </c>
      <c r="B5" s="27"/>
      <c r="C5" s="27">
        <v>195.9</v>
      </c>
      <c r="D5" s="27">
        <v>387.97999999999996</v>
      </c>
      <c r="E5" s="27">
        <v>583.88</v>
      </c>
    </row>
    <row r="6" spans="1:5" x14ac:dyDescent="0.2">
      <c r="A6" s="26" t="s">
        <v>19</v>
      </c>
      <c r="B6" s="27">
        <v>118.91000000000001</v>
      </c>
      <c r="C6" s="27">
        <v>120.43</v>
      </c>
      <c r="D6" s="27">
        <v>188.27</v>
      </c>
      <c r="E6" s="27">
        <v>427.61</v>
      </c>
    </row>
    <row r="7" spans="1:5" x14ac:dyDescent="0.2">
      <c r="A7" s="26" t="s">
        <v>20</v>
      </c>
      <c r="B7" s="27"/>
      <c r="C7" s="27">
        <v>120.43</v>
      </c>
      <c r="D7" s="27"/>
      <c r="E7" s="27">
        <v>120.43</v>
      </c>
    </row>
    <row r="8" spans="1:5" x14ac:dyDescent="0.2">
      <c r="A8" s="26" t="s">
        <v>16</v>
      </c>
      <c r="B8" s="27">
        <v>118.91000000000001</v>
      </c>
      <c r="C8" s="27">
        <v>436.76000000000005</v>
      </c>
      <c r="D8" s="27">
        <v>576.25</v>
      </c>
      <c r="E8" s="27">
        <v>1131.92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Liste</vt:lpstr>
      <vt:lpstr>Corrigé Liste</vt:lpstr>
      <vt:lpstr>Corrigé Analyse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Guérois</dc:creator>
  <cp:lastModifiedBy>Akossi</cp:lastModifiedBy>
  <dcterms:created xsi:type="dcterms:W3CDTF">2007-07-09T16:47:02Z</dcterms:created>
  <dcterms:modified xsi:type="dcterms:W3CDTF">2019-07-07T12:29:13Z</dcterms:modified>
</cp:coreProperties>
</file>
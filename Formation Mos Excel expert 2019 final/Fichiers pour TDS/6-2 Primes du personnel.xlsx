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7715" windowHeight="11055" tabRatio="831" activeTab="4"/>
  </bookViews>
  <sheets>
    <sheet name="Salaire par ville et par date" sheetId="2" r:id="rId1"/>
    <sheet name="Prime en %" sheetId="4" r:id="rId2"/>
    <sheet name="Prime par ville et par date" sheetId="3" r:id="rId3"/>
    <sheet name="Charges patronales" sheetId="5" r:id="rId4"/>
    <sheet name="Relevé" sheetId="1" r:id="rId5"/>
  </sheets>
  <calcPr calcId="145621"/>
  <pivotCaches>
    <pivotCache cacheId="60" r:id="rId6"/>
  </pivotCaches>
</workbook>
</file>

<file path=xl/calcChain.xml><?xml version="1.0" encoding="utf-8"?>
<calcChain xmlns="http://schemas.openxmlformats.org/spreadsheetml/2006/main">
  <c r="H24" i="1" l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F19" i="1"/>
  <c r="H18" i="1"/>
  <c r="I18" i="1" s="1"/>
  <c r="F18" i="1"/>
  <c r="H17" i="1"/>
  <c r="I17" i="1" s="1"/>
  <c r="F17" i="1"/>
  <c r="H16" i="1"/>
  <c r="I16" i="1" s="1"/>
  <c r="F16" i="1"/>
  <c r="H15" i="1"/>
  <c r="I15" i="1" s="1"/>
  <c r="F15" i="1"/>
  <c r="H14" i="1"/>
  <c r="I14" i="1" s="1"/>
  <c r="F14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F4" i="1"/>
</calcChain>
</file>

<file path=xl/sharedStrings.xml><?xml version="1.0" encoding="utf-8"?>
<sst xmlns="http://schemas.openxmlformats.org/spreadsheetml/2006/main" count="158" uniqueCount="65">
  <si>
    <t>Nom</t>
  </si>
  <si>
    <t>Prénom</t>
  </si>
  <si>
    <t>Fonction</t>
  </si>
  <si>
    <t>Ville</t>
  </si>
  <si>
    <t>Date d'embauche</t>
  </si>
  <si>
    <t>Ancienneté</t>
  </si>
  <si>
    <t>Salaire</t>
  </si>
  <si>
    <t>Prime</t>
  </si>
  <si>
    <t>TOTAL</t>
  </si>
  <si>
    <t>DUPONT</t>
  </si>
  <si>
    <t>Alain</t>
  </si>
  <si>
    <t>Comptable</t>
  </si>
  <si>
    <t>Nantes</t>
  </si>
  <si>
    <t>AUBERT</t>
  </si>
  <si>
    <t>Patrice</t>
  </si>
  <si>
    <t>Cuisinier</t>
  </si>
  <si>
    <t>BRIAND</t>
  </si>
  <si>
    <t>Claude</t>
  </si>
  <si>
    <t>Serveur</t>
  </si>
  <si>
    <t>MARIN</t>
  </si>
  <si>
    <t>Thierry</t>
  </si>
  <si>
    <t>Paris</t>
  </si>
  <si>
    <t>MALUOT</t>
  </si>
  <si>
    <t>Marine</t>
  </si>
  <si>
    <t>DURAND</t>
  </si>
  <si>
    <t>Audrey</t>
  </si>
  <si>
    <t>Hôtesse d'accueil</t>
  </si>
  <si>
    <t>GUERRIN</t>
  </si>
  <si>
    <t>Mathilde</t>
  </si>
  <si>
    <t>CROVIER</t>
  </si>
  <si>
    <t>Pierre</t>
  </si>
  <si>
    <t>PITIVIER</t>
  </si>
  <si>
    <t>Charles</t>
  </si>
  <si>
    <t>TOURANGE</t>
  </si>
  <si>
    <t>Bastien</t>
  </si>
  <si>
    <t>CHENE</t>
  </si>
  <si>
    <t>Claudie</t>
  </si>
  <si>
    <t>Serveuse</t>
  </si>
  <si>
    <t>SALMON</t>
  </si>
  <si>
    <t>Sylvie</t>
  </si>
  <si>
    <t>FOLLIET</t>
  </si>
  <si>
    <t>Nathalie</t>
  </si>
  <si>
    <t>PAUILLAC</t>
  </si>
  <si>
    <t>Hélène</t>
  </si>
  <si>
    <t>Strasbourg</t>
  </si>
  <si>
    <t>IDRAM</t>
  </si>
  <si>
    <t>Jean</t>
  </si>
  <si>
    <t>Sommelier</t>
  </si>
  <si>
    <t>MARTIN</t>
  </si>
  <si>
    <t>Yann</t>
  </si>
  <si>
    <t>AUDRIN</t>
  </si>
  <si>
    <t>Mireille</t>
  </si>
  <si>
    <t>BERTIN</t>
  </si>
  <si>
    <t>Stéphane</t>
  </si>
  <si>
    <t>Stéphanie</t>
  </si>
  <si>
    <t>PAULIN</t>
  </si>
  <si>
    <t>Elie</t>
  </si>
  <si>
    <t>FUSILLE</t>
  </si>
  <si>
    <t>Paul</t>
  </si>
  <si>
    <t>CALCUL DES PRIMES DU PERSONNEL</t>
  </si>
  <si>
    <t>Étiquettes de colonnes</t>
  </si>
  <si>
    <t>Total général</t>
  </si>
  <si>
    <t>Étiquettes de lignes</t>
  </si>
  <si>
    <t>Somme de TOTAL</t>
  </si>
  <si>
    <t>Somme de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</si>
</sst>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;@"/>
    <numFmt numFmtId="165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indexed="18"/>
      <name val="Comic Sans MS"/>
      <family val="4"/>
    </font>
    <font>
      <b/>
      <sz val="10"/>
      <color indexed="8"/>
      <name val="Comic Sans MS"/>
      <family val="4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24"/>
      </patternFill>
    </fill>
    <fill>
      <patternFill patternType="solid">
        <fgColor theme="8" tint="0.79998168889431442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 applyProtection="1">
      <alignment horizontal="left"/>
    </xf>
    <xf numFmtId="0" fontId="2" fillId="2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  <xf numFmtId="0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ierre Lucat" refreshedDate="41038.671003935182" createdVersion="4" refreshedVersion="4" minRefreshableVersion="3" recordCount="21">
  <cacheSource type="worksheet">
    <worksheetSource ref="A3:I24" sheet="Relevé"/>
  </cacheSource>
  <cacheFields count="9">
    <cacheField name="Nom" numFmtId="49">
      <sharedItems count="20">
        <s v="DUPONT"/>
        <s v="AUBERT"/>
        <s v="BRIAND"/>
        <s v="MARIN"/>
        <s v="MALUOT"/>
        <s v="DURAND"/>
        <s v="GUERRIN"/>
        <s v="CROVIER"/>
        <s v="PITIVIER"/>
        <s v="TOURANGE"/>
        <s v="CHENE"/>
        <s v="SALMON"/>
        <s v="FOLLIET"/>
        <s v="PAUILLAC"/>
        <s v="IDRAM"/>
        <s v="MARTIN"/>
        <s v="AUDRIN"/>
        <s v="BERTIN"/>
        <s v="PAULIN"/>
        <s v="FUSILLE"/>
      </sharedItems>
    </cacheField>
    <cacheField name="Prénom" numFmtId="49">
      <sharedItems/>
    </cacheField>
    <cacheField name="Fonction" numFmtId="0">
      <sharedItems count="6">
        <s v="Comptable"/>
        <s v="Cuisinier"/>
        <s v="Serveur"/>
        <s v="Hôtesse d'accueil"/>
        <s v="Serveuse"/>
        <s v="Sommelier"/>
      </sharedItems>
    </cacheField>
    <cacheField name="Ville" numFmtId="0">
      <sharedItems count="3">
        <s v="Nantes"/>
        <s v="Paris"/>
        <s v="Strasbourg"/>
      </sharedItems>
    </cacheField>
    <cacheField name="Date d'embauche" numFmtId="164">
      <sharedItems containsSemiMixedTypes="0" containsNonDate="0" containsDate="1" containsString="0" minDate="2000-05-01T00:00:00" maxDate="2005-11-02T00:00:00" count="21">
        <d v="2001-06-01T00:00:00"/>
        <d v="2001-07-15T00:00:00"/>
        <d v="2002-06-01T00:00:00"/>
        <d v="2000-05-01T00:00:00"/>
        <d v="2005-11-01T00:00:00"/>
        <d v="2001-11-15T00:00:00"/>
        <d v="2002-09-15T00:00:00"/>
        <d v="2004-09-01T00:00:00"/>
        <d v="2003-11-01T00:00:00"/>
        <d v="2004-01-15T00:00:00"/>
        <d v="2002-10-01T00:00:00"/>
        <d v="2004-06-15T00:00:00"/>
        <d v="2003-04-01T00:00:00"/>
        <d v="2002-07-01T00:00:00"/>
        <d v="2004-02-15T00:00:00"/>
        <d v="2001-11-01T00:00:00"/>
        <d v="2004-03-15T00:00:00"/>
        <d v="2005-06-01T00:00:00"/>
        <d v="2000-09-01T00:00:00"/>
        <d v="2001-08-01T00:00:00"/>
        <d v="2005-05-15T00:00:00"/>
      </sharedItems>
    </cacheField>
    <cacheField name="Ancienneté" numFmtId="14">
      <sharedItems/>
    </cacheField>
    <cacheField name="Salaire" numFmtId="165">
      <sharedItems containsSemiMixedTypes="0" containsString="0" containsNumber="1" minValue="1150.75" maxValue="2785"/>
    </cacheField>
    <cacheField name="Prime" numFmtId="165">
      <sharedItems containsSemiMixedTypes="0" containsString="0" containsNumber="1" minValue="230.15" maxValue="557"/>
    </cacheField>
    <cacheField name="TOTAL" numFmtId="165">
      <sharedItems containsSemiMixedTypes="0" containsString="0" containsNumber="1" minValue="1380.9" maxValue="33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s v="Alain"/>
    <x v="0"/>
    <x v="0"/>
    <x v="0"/>
    <s v="10 ans"/>
    <n v="1781.56"/>
    <n v="356.31200000000001"/>
    <n v="2137.8719999999998"/>
  </r>
  <r>
    <x v="1"/>
    <s v="Patrice"/>
    <x v="1"/>
    <x v="0"/>
    <x v="1"/>
    <s v="10 ans"/>
    <n v="1768.99"/>
    <n v="353.798"/>
    <n v="2122.788"/>
  </r>
  <r>
    <x v="2"/>
    <s v="Claude"/>
    <x v="2"/>
    <x v="0"/>
    <x v="2"/>
    <s v="9 ans"/>
    <n v="1498.75"/>
    <n v="299.75"/>
    <n v="1798.5"/>
  </r>
  <r>
    <x v="3"/>
    <s v="Thierry"/>
    <x v="1"/>
    <x v="1"/>
    <x v="3"/>
    <s v="12 ans"/>
    <n v="1594.56"/>
    <n v="318.91200000000003"/>
    <n v="1913.472"/>
  </r>
  <r>
    <x v="4"/>
    <s v="Marine"/>
    <x v="1"/>
    <x v="1"/>
    <x v="4"/>
    <s v="6 ans"/>
    <n v="1251.75"/>
    <n v="250.35000000000002"/>
    <n v="1502.1"/>
  </r>
  <r>
    <x v="5"/>
    <s v="Audrey"/>
    <x v="3"/>
    <x v="0"/>
    <x v="5"/>
    <s v="10 ans"/>
    <n v="1358.72"/>
    <n v="271.74400000000003"/>
    <n v="1630.4639999999999"/>
  </r>
  <r>
    <x v="6"/>
    <s v="Mathilde"/>
    <x v="3"/>
    <x v="1"/>
    <x v="6"/>
    <s v="9 ans"/>
    <n v="1689"/>
    <n v="337.8"/>
    <n v="2026.8"/>
  </r>
  <r>
    <x v="7"/>
    <s v="Pierre"/>
    <x v="2"/>
    <x v="0"/>
    <x v="7"/>
    <s v="7 ans"/>
    <n v="1460"/>
    <n v="292"/>
    <n v="1752"/>
  </r>
  <r>
    <x v="8"/>
    <s v="Charles"/>
    <x v="2"/>
    <x v="0"/>
    <x v="8"/>
    <s v="8 ans"/>
    <n v="2128.75"/>
    <n v="425.75"/>
    <n v="2554.5"/>
  </r>
  <r>
    <x v="9"/>
    <s v="Bastien"/>
    <x v="2"/>
    <x v="0"/>
    <x v="9"/>
    <s v="8 ans"/>
    <n v="1150.75"/>
    <n v="230.15"/>
    <n v="1380.9"/>
  </r>
  <r>
    <x v="10"/>
    <s v="Claudie"/>
    <x v="4"/>
    <x v="1"/>
    <x v="10"/>
    <s v="9 ans"/>
    <n v="1255.5"/>
    <n v="251.10000000000002"/>
    <n v="1506.6"/>
  </r>
  <r>
    <x v="11"/>
    <s v="Sylvie"/>
    <x v="1"/>
    <x v="1"/>
    <x v="11"/>
    <s v="7 ans"/>
    <n v="1485.33"/>
    <n v="297.06599999999997"/>
    <n v="1782.396"/>
  </r>
  <r>
    <x v="12"/>
    <s v="Nathalie"/>
    <x v="4"/>
    <x v="1"/>
    <x v="12"/>
    <s v="9 ans"/>
    <n v="1589"/>
    <n v="317.8"/>
    <n v="1906.8"/>
  </r>
  <r>
    <x v="13"/>
    <s v="Hélène"/>
    <x v="4"/>
    <x v="2"/>
    <x v="13"/>
    <s v="9 ans"/>
    <n v="2785"/>
    <n v="557"/>
    <n v="3342"/>
  </r>
  <r>
    <x v="14"/>
    <s v="Jean"/>
    <x v="5"/>
    <x v="1"/>
    <x v="14"/>
    <s v="8 ans"/>
    <n v="1350.66"/>
    <n v="270.13200000000001"/>
    <n v="1620.7920000000001"/>
  </r>
  <r>
    <x v="15"/>
    <s v="Yann"/>
    <x v="2"/>
    <x v="1"/>
    <x v="15"/>
    <s v="10 ans"/>
    <n v="1705.5"/>
    <n v="341.1"/>
    <n v="2046.6"/>
  </r>
  <r>
    <x v="16"/>
    <s v="Mireille"/>
    <x v="4"/>
    <x v="2"/>
    <x v="16"/>
    <s v="8 ans"/>
    <n v="1497.75"/>
    <n v="299.55"/>
    <n v="1797.3"/>
  </r>
  <r>
    <x v="17"/>
    <s v="Stéphane"/>
    <x v="2"/>
    <x v="2"/>
    <x v="17"/>
    <s v="6 ans"/>
    <n v="1355"/>
    <n v="271"/>
    <n v="1626"/>
  </r>
  <r>
    <x v="5"/>
    <s v="Stéphanie"/>
    <x v="4"/>
    <x v="2"/>
    <x v="18"/>
    <s v="11 ans"/>
    <n v="1590"/>
    <n v="318"/>
    <n v="1908"/>
  </r>
  <r>
    <x v="18"/>
    <s v="Elie"/>
    <x v="1"/>
    <x v="2"/>
    <x v="19"/>
    <s v="10 ans"/>
    <n v="1550.99"/>
    <n v="310.19800000000004"/>
    <n v="1861.1880000000001"/>
  </r>
  <r>
    <x v="19"/>
    <s v="Paul"/>
    <x v="2"/>
    <x v="2"/>
    <x v="20"/>
    <s v="6 ans"/>
    <n v="1352.52"/>
    <n v="270.50400000000002"/>
    <n v="1623.023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6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H29" firstHeaderRow="1" firstDataRow="2" firstDataCol="1"/>
  <pivotFields count="9">
    <pivotField showAll="0"/>
    <pivotField showAll="0"/>
    <pivotField axis="axisCol" showAll="0">
      <items count="7">
        <item x="3"/>
        <item x="5"/>
        <item x="0"/>
        <item x="2"/>
        <item x="4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numFmtId="164" showAll="0">
      <items count="22">
        <item x="3"/>
        <item x="18"/>
        <item x="0"/>
        <item x="1"/>
        <item x="19"/>
        <item x="15"/>
        <item x="5"/>
        <item x="2"/>
        <item x="13"/>
        <item x="6"/>
        <item x="10"/>
        <item x="12"/>
        <item x="8"/>
        <item x="9"/>
        <item x="14"/>
        <item x="16"/>
        <item x="11"/>
        <item x="7"/>
        <item x="20"/>
        <item x="17"/>
        <item x="4"/>
        <item t="default"/>
      </items>
    </pivotField>
    <pivotField showAll="0"/>
    <pivotField numFmtId="165" showAll="0"/>
    <pivotField numFmtId="165" showAll="0"/>
    <pivotField dataField="1" numFmtId="165" showAll="0"/>
  </pivotFields>
  <rowFields count="2">
    <field x="3"/>
    <field x="4"/>
  </rowFields>
  <rowItems count="25">
    <i>
      <x/>
    </i>
    <i r="1">
      <x v="2"/>
    </i>
    <i r="1">
      <x v="3"/>
    </i>
    <i r="1">
      <x v="6"/>
    </i>
    <i r="1">
      <x v="7"/>
    </i>
    <i r="1">
      <x v="12"/>
    </i>
    <i r="1">
      <x v="13"/>
    </i>
    <i r="1">
      <x v="17"/>
    </i>
    <i>
      <x v="1"/>
    </i>
    <i r="1">
      <x/>
    </i>
    <i r="1">
      <x v="5"/>
    </i>
    <i r="1">
      <x v="9"/>
    </i>
    <i r="1">
      <x v="10"/>
    </i>
    <i r="1">
      <x v="11"/>
    </i>
    <i r="1">
      <x v="14"/>
    </i>
    <i r="1">
      <x v="16"/>
    </i>
    <i r="1">
      <x v="20"/>
    </i>
    <i>
      <x v="2"/>
    </i>
    <i r="1">
      <x v="1"/>
    </i>
    <i r="1">
      <x v="4"/>
    </i>
    <i r="1">
      <x v="8"/>
    </i>
    <i r="1">
      <x v="15"/>
    </i>
    <i r="1">
      <x v="18"/>
    </i>
    <i r="1">
      <x v="1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me de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5" cacheId="6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E11" firstHeaderRow="1" firstDataRow="2" firstDataCol="1"/>
  <pivotFields count="9">
    <pivotField showAll="0"/>
    <pivotField showAll="0"/>
    <pivotField axis="axisRow" showAll="0">
      <items count="7">
        <item x="3"/>
        <item x="5"/>
        <item x="0"/>
        <item x="2"/>
        <item x="4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64" showAll="0"/>
    <pivotField showAll="0"/>
    <pivotField numFmtId="165" showAll="0"/>
    <pivotField dataField="1" numFmtId="165" showAll="0"/>
    <pivotField numFmtId="165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Pr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4" cacheId="6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W8" firstHeaderRow="1" firstDataRow="2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numFmtId="164" showAll="0">
      <items count="22">
        <item x="3"/>
        <item x="18"/>
        <item x="0"/>
        <item x="1"/>
        <item x="19"/>
        <item x="15"/>
        <item x="5"/>
        <item x="2"/>
        <item x="13"/>
        <item x="6"/>
        <item x="10"/>
        <item x="12"/>
        <item x="8"/>
        <item x="9"/>
        <item x="14"/>
        <item x="16"/>
        <item x="11"/>
        <item x="7"/>
        <item x="20"/>
        <item x="17"/>
        <item x="4"/>
        <item t="default"/>
      </items>
    </pivotField>
    <pivotField showAll="0"/>
    <pivotField numFmtId="165" showAll="0"/>
    <pivotField dataField="1" numFmtId="165" showAll="0"/>
    <pivotField numFmtId="165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omme de Prim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6" cacheId="60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E25" firstHeaderRow="1" firstDataRow="2" firstDataCol="1"/>
  <pivotFields count="9">
    <pivotField axis="axisRow" showAll="0">
      <items count="21">
        <item x="1"/>
        <item x="16"/>
        <item x="17"/>
        <item x="2"/>
        <item x="10"/>
        <item x="7"/>
        <item x="0"/>
        <item x="5"/>
        <item x="12"/>
        <item x="19"/>
        <item x="6"/>
        <item x="14"/>
        <item x="4"/>
        <item x="3"/>
        <item x="15"/>
        <item x="13"/>
        <item x="18"/>
        <item x="8"/>
        <item x="11"/>
        <item x="9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64" showAll="0"/>
    <pivotField showAll="0"/>
    <pivotField numFmtId="165" showAll="0"/>
    <pivotField numFmtId="165" showAll="0"/>
    <pivotField dataField="1" numFmtId="165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9"/>
  <sheetViews>
    <sheetView workbookViewId="0">
      <selection activeCell="A3" sqref="A3"/>
    </sheetView>
  </sheetViews>
  <sheetFormatPr baseColWidth="10" defaultRowHeight="15" x14ac:dyDescent="0.25"/>
  <cols>
    <col min="1" max="1" width="21" customWidth="1"/>
    <col min="2" max="2" width="23.85546875" bestFit="1" customWidth="1"/>
    <col min="3" max="4" width="10.7109375" customWidth="1"/>
    <col min="5" max="5" width="10" bestFit="1" customWidth="1"/>
    <col min="6" max="6" width="9.140625" customWidth="1"/>
    <col min="7" max="7" width="9" bestFit="1" customWidth="1"/>
    <col min="8" max="8" width="12.5703125" bestFit="1" customWidth="1"/>
  </cols>
  <sheetData>
    <row r="3" spans="1:8" x14ac:dyDescent="0.25">
      <c r="A3" s="10" t="s">
        <v>63</v>
      </c>
      <c r="B3" s="10" t="s">
        <v>60</v>
      </c>
    </row>
    <row r="4" spans="1:8" x14ac:dyDescent="0.25">
      <c r="A4" s="10" t="s">
        <v>62</v>
      </c>
      <c r="B4" t="s">
        <v>26</v>
      </c>
      <c r="C4" t="s">
        <v>47</v>
      </c>
      <c r="D4" t="s">
        <v>11</v>
      </c>
      <c r="E4" t="s">
        <v>18</v>
      </c>
      <c r="F4" t="s">
        <v>37</v>
      </c>
      <c r="G4" t="s">
        <v>15</v>
      </c>
      <c r="H4" t="s">
        <v>61</v>
      </c>
    </row>
    <row r="5" spans="1:8" x14ac:dyDescent="0.25">
      <c r="A5" s="11" t="s">
        <v>12</v>
      </c>
      <c r="B5" s="13">
        <v>1630.4639999999999</v>
      </c>
      <c r="C5" s="13"/>
      <c r="D5" s="13">
        <v>2137.8719999999998</v>
      </c>
      <c r="E5" s="13">
        <v>7485.9</v>
      </c>
      <c r="F5" s="13"/>
      <c r="G5" s="13">
        <v>2122.788</v>
      </c>
      <c r="H5" s="13">
        <v>13377.023999999999</v>
      </c>
    </row>
    <row r="6" spans="1:8" x14ac:dyDescent="0.25">
      <c r="A6" s="12">
        <v>37043</v>
      </c>
      <c r="B6" s="13"/>
      <c r="C6" s="13"/>
      <c r="D6" s="13">
        <v>2137.8719999999998</v>
      </c>
      <c r="E6" s="13"/>
      <c r="F6" s="13"/>
      <c r="G6" s="13"/>
      <c r="H6" s="13">
        <v>2137.8719999999998</v>
      </c>
    </row>
    <row r="7" spans="1:8" x14ac:dyDescent="0.25">
      <c r="A7" s="12">
        <v>37087</v>
      </c>
      <c r="B7" s="13"/>
      <c r="C7" s="13"/>
      <c r="D7" s="13"/>
      <c r="E7" s="13"/>
      <c r="F7" s="13"/>
      <c r="G7" s="13">
        <v>2122.788</v>
      </c>
      <c r="H7" s="13">
        <v>2122.788</v>
      </c>
    </row>
    <row r="8" spans="1:8" x14ac:dyDescent="0.25">
      <c r="A8" s="12">
        <v>37210</v>
      </c>
      <c r="B8" s="13">
        <v>1630.4639999999999</v>
      </c>
      <c r="C8" s="13"/>
      <c r="D8" s="13"/>
      <c r="E8" s="13"/>
      <c r="F8" s="13"/>
      <c r="G8" s="13"/>
      <c r="H8" s="13">
        <v>1630.4639999999999</v>
      </c>
    </row>
    <row r="9" spans="1:8" x14ac:dyDescent="0.25">
      <c r="A9" s="12">
        <v>37408</v>
      </c>
      <c r="B9" s="13"/>
      <c r="C9" s="13"/>
      <c r="D9" s="13"/>
      <c r="E9" s="13">
        <v>1798.5</v>
      </c>
      <c r="F9" s="13"/>
      <c r="G9" s="13"/>
      <c r="H9" s="13">
        <v>1798.5</v>
      </c>
    </row>
    <row r="10" spans="1:8" x14ac:dyDescent="0.25">
      <c r="A10" s="12">
        <v>37926</v>
      </c>
      <c r="B10" s="13"/>
      <c r="C10" s="13"/>
      <c r="D10" s="13"/>
      <c r="E10" s="13">
        <v>2554.5</v>
      </c>
      <c r="F10" s="13"/>
      <c r="G10" s="13"/>
      <c r="H10" s="13">
        <v>2554.5</v>
      </c>
    </row>
    <row r="11" spans="1:8" x14ac:dyDescent="0.25">
      <c r="A11" s="12">
        <v>38001</v>
      </c>
      <c r="B11" s="13"/>
      <c r="C11" s="13"/>
      <c r="D11" s="13"/>
      <c r="E11" s="13">
        <v>1380.9</v>
      </c>
      <c r="F11" s="13"/>
      <c r="G11" s="13"/>
      <c r="H11" s="13">
        <v>1380.9</v>
      </c>
    </row>
    <row r="12" spans="1:8" x14ac:dyDescent="0.25">
      <c r="A12" s="12">
        <v>38231</v>
      </c>
      <c r="B12" s="13"/>
      <c r="C12" s="13"/>
      <c r="D12" s="13"/>
      <c r="E12" s="13">
        <v>1752</v>
      </c>
      <c r="F12" s="13"/>
      <c r="G12" s="13"/>
      <c r="H12" s="13">
        <v>1752</v>
      </c>
    </row>
    <row r="13" spans="1:8" x14ac:dyDescent="0.25">
      <c r="A13" s="11" t="s">
        <v>21</v>
      </c>
      <c r="B13" s="13">
        <v>2026.8</v>
      </c>
      <c r="C13" s="13">
        <v>1620.7920000000001</v>
      </c>
      <c r="D13" s="13"/>
      <c r="E13" s="13">
        <v>2046.6</v>
      </c>
      <c r="F13" s="13">
        <v>3413.3999999999996</v>
      </c>
      <c r="G13" s="13">
        <v>5197.9679999999998</v>
      </c>
      <c r="H13" s="13">
        <v>14305.56</v>
      </c>
    </row>
    <row r="14" spans="1:8" x14ac:dyDescent="0.25">
      <c r="A14" s="12">
        <v>36647</v>
      </c>
      <c r="B14" s="13"/>
      <c r="C14" s="13"/>
      <c r="D14" s="13"/>
      <c r="E14" s="13"/>
      <c r="F14" s="13"/>
      <c r="G14" s="13">
        <v>1913.472</v>
      </c>
      <c r="H14" s="13">
        <v>1913.472</v>
      </c>
    </row>
    <row r="15" spans="1:8" x14ac:dyDescent="0.25">
      <c r="A15" s="12">
        <v>37196</v>
      </c>
      <c r="B15" s="13"/>
      <c r="C15" s="13"/>
      <c r="D15" s="13"/>
      <c r="E15" s="13">
        <v>2046.6</v>
      </c>
      <c r="F15" s="13"/>
      <c r="G15" s="13"/>
      <c r="H15" s="13">
        <v>2046.6</v>
      </c>
    </row>
    <row r="16" spans="1:8" x14ac:dyDescent="0.25">
      <c r="A16" s="12">
        <v>37514</v>
      </c>
      <c r="B16" s="13">
        <v>2026.8</v>
      </c>
      <c r="C16" s="13"/>
      <c r="D16" s="13"/>
      <c r="E16" s="13"/>
      <c r="F16" s="13"/>
      <c r="G16" s="13"/>
      <c r="H16" s="13">
        <v>2026.8</v>
      </c>
    </row>
    <row r="17" spans="1:8" x14ac:dyDescent="0.25">
      <c r="A17" s="12">
        <v>37530</v>
      </c>
      <c r="B17" s="13"/>
      <c r="C17" s="13"/>
      <c r="D17" s="13"/>
      <c r="E17" s="13"/>
      <c r="F17" s="13">
        <v>1506.6</v>
      </c>
      <c r="G17" s="13"/>
      <c r="H17" s="13">
        <v>1506.6</v>
      </c>
    </row>
    <row r="18" spans="1:8" x14ac:dyDescent="0.25">
      <c r="A18" s="12">
        <v>37712</v>
      </c>
      <c r="B18" s="13"/>
      <c r="C18" s="13"/>
      <c r="D18" s="13"/>
      <c r="E18" s="13"/>
      <c r="F18" s="13">
        <v>1906.8</v>
      </c>
      <c r="G18" s="13"/>
      <c r="H18" s="13">
        <v>1906.8</v>
      </c>
    </row>
    <row r="19" spans="1:8" x14ac:dyDescent="0.25">
      <c r="A19" s="12">
        <v>38032</v>
      </c>
      <c r="B19" s="13"/>
      <c r="C19" s="13">
        <v>1620.7920000000001</v>
      </c>
      <c r="D19" s="13"/>
      <c r="E19" s="13"/>
      <c r="F19" s="13"/>
      <c r="G19" s="13"/>
      <c r="H19" s="13">
        <v>1620.7920000000001</v>
      </c>
    </row>
    <row r="20" spans="1:8" x14ac:dyDescent="0.25">
      <c r="A20" s="12">
        <v>38153</v>
      </c>
      <c r="B20" s="13"/>
      <c r="C20" s="13"/>
      <c r="D20" s="13"/>
      <c r="E20" s="13"/>
      <c r="F20" s="13"/>
      <c r="G20" s="13">
        <v>1782.396</v>
      </c>
      <c r="H20" s="13">
        <v>1782.396</v>
      </c>
    </row>
    <row r="21" spans="1:8" x14ac:dyDescent="0.25">
      <c r="A21" s="12">
        <v>38657</v>
      </c>
      <c r="B21" s="13"/>
      <c r="C21" s="13"/>
      <c r="D21" s="13"/>
      <c r="E21" s="13"/>
      <c r="F21" s="13"/>
      <c r="G21" s="13">
        <v>1502.1</v>
      </c>
      <c r="H21" s="13">
        <v>1502.1</v>
      </c>
    </row>
    <row r="22" spans="1:8" x14ac:dyDescent="0.25">
      <c r="A22" s="11" t="s">
        <v>44</v>
      </c>
      <c r="B22" s="13"/>
      <c r="C22" s="13"/>
      <c r="D22" s="13"/>
      <c r="E22" s="13">
        <v>3249.0239999999999</v>
      </c>
      <c r="F22" s="13">
        <v>7047.3</v>
      </c>
      <c r="G22" s="13">
        <v>1861.1880000000001</v>
      </c>
      <c r="H22" s="13">
        <v>12157.511999999999</v>
      </c>
    </row>
    <row r="23" spans="1:8" x14ac:dyDescent="0.25">
      <c r="A23" s="12">
        <v>36770</v>
      </c>
      <c r="B23" s="13"/>
      <c r="C23" s="13"/>
      <c r="D23" s="13"/>
      <c r="E23" s="13"/>
      <c r="F23" s="13">
        <v>1908</v>
      </c>
      <c r="G23" s="13"/>
      <c r="H23" s="13">
        <v>1908</v>
      </c>
    </row>
    <row r="24" spans="1:8" x14ac:dyDescent="0.25">
      <c r="A24" s="12">
        <v>37104</v>
      </c>
      <c r="B24" s="13"/>
      <c r="C24" s="13"/>
      <c r="D24" s="13"/>
      <c r="E24" s="13"/>
      <c r="F24" s="13"/>
      <c r="G24" s="13">
        <v>1861.1880000000001</v>
      </c>
      <c r="H24" s="13">
        <v>1861.1880000000001</v>
      </c>
    </row>
    <row r="25" spans="1:8" x14ac:dyDescent="0.25">
      <c r="A25" s="12">
        <v>37438</v>
      </c>
      <c r="B25" s="13"/>
      <c r="C25" s="13"/>
      <c r="D25" s="13"/>
      <c r="E25" s="13"/>
      <c r="F25" s="13">
        <v>3342</v>
      </c>
      <c r="G25" s="13"/>
      <c r="H25" s="13">
        <v>3342</v>
      </c>
    </row>
    <row r="26" spans="1:8" x14ac:dyDescent="0.25">
      <c r="A26" s="12">
        <v>38061</v>
      </c>
      <c r="B26" s="13"/>
      <c r="C26" s="13"/>
      <c r="D26" s="13"/>
      <c r="E26" s="13"/>
      <c r="F26" s="13">
        <v>1797.3</v>
      </c>
      <c r="G26" s="13"/>
      <c r="H26" s="13">
        <v>1797.3</v>
      </c>
    </row>
    <row r="27" spans="1:8" x14ac:dyDescent="0.25">
      <c r="A27" s="12">
        <v>38487</v>
      </c>
      <c r="B27" s="13"/>
      <c r="C27" s="13"/>
      <c r="D27" s="13"/>
      <c r="E27" s="13">
        <v>1623.0239999999999</v>
      </c>
      <c r="F27" s="13"/>
      <c r="G27" s="13"/>
      <c r="H27" s="13">
        <v>1623.0239999999999</v>
      </c>
    </row>
    <row r="28" spans="1:8" x14ac:dyDescent="0.25">
      <c r="A28" s="12">
        <v>38504</v>
      </c>
      <c r="B28" s="13"/>
      <c r="C28" s="13"/>
      <c r="D28" s="13"/>
      <c r="E28" s="13">
        <v>1626</v>
      </c>
      <c r="F28" s="13"/>
      <c r="G28" s="13"/>
      <c r="H28" s="13">
        <v>1626</v>
      </c>
    </row>
    <row r="29" spans="1:8" x14ac:dyDescent="0.25">
      <c r="A29" s="11" t="s">
        <v>61</v>
      </c>
      <c r="B29" s="13">
        <v>3657.2640000000001</v>
      </c>
      <c r="C29" s="13">
        <v>1620.7920000000001</v>
      </c>
      <c r="D29" s="13">
        <v>2137.8719999999998</v>
      </c>
      <c r="E29" s="13">
        <v>12781.523999999999</v>
      </c>
      <c r="F29" s="13">
        <v>10460.699999999999</v>
      </c>
      <c r="G29" s="13">
        <v>9181.9439999999995</v>
      </c>
      <c r="H29" s="13">
        <v>39840.095999999998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A6" sqref="A6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8" customWidth="1"/>
    <col min="4" max="4" width="10.42578125" customWidth="1"/>
    <col min="5" max="5" width="12.5703125" bestFit="1" customWidth="1"/>
  </cols>
  <sheetData>
    <row r="3" spans="1:5" x14ac:dyDescent="0.25">
      <c r="A3" s="10" t="s">
        <v>64</v>
      </c>
      <c r="B3" s="10" t="s">
        <v>60</v>
      </c>
    </row>
    <row r="4" spans="1:5" x14ac:dyDescent="0.25">
      <c r="A4" s="10" t="s">
        <v>62</v>
      </c>
      <c r="B4" t="s">
        <v>12</v>
      </c>
      <c r="C4" t="s">
        <v>21</v>
      </c>
      <c r="D4" t="s">
        <v>44</v>
      </c>
      <c r="E4" t="s">
        <v>61</v>
      </c>
    </row>
    <row r="5" spans="1:5" x14ac:dyDescent="0.25">
      <c r="A5" s="11" t="s">
        <v>26</v>
      </c>
      <c r="B5" s="13">
        <v>271.74400000000003</v>
      </c>
      <c r="C5" s="13">
        <v>337.8</v>
      </c>
      <c r="D5" s="13"/>
      <c r="E5" s="13">
        <v>609.5440000000001</v>
      </c>
    </row>
    <row r="6" spans="1:5" x14ac:dyDescent="0.25">
      <c r="A6" s="11" t="s">
        <v>47</v>
      </c>
      <c r="B6" s="13"/>
      <c r="C6" s="13">
        <v>270.13200000000001</v>
      </c>
      <c r="D6" s="13"/>
      <c r="E6" s="13">
        <v>270.13200000000001</v>
      </c>
    </row>
    <row r="7" spans="1:5" x14ac:dyDescent="0.25">
      <c r="A7" s="11" t="s">
        <v>11</v>
      </c>
      <c r="B7" s="13">
        <v>356.31200000000001</v>
      </c>
      <c r="C7" s="13"/>
      <c r="D7" s="13"/>
      <c r="E7" s="13">
        <v>356.31200000000001</v>
      </c>
    </row>
    <row r="8" spans="1:5" x14ac:dyDescent="0.25">
      <c r="A8" s="11" t="s">
        <v>18</v>
      </c>
      <c r="B8" s="13">
        <v>1247.6500000000001</v>
      </c>
      <c r="C8" s="13">
        <v>341.1</v>
      </c>
      <c r="D8" s="13">
        <v>541.50400000000002</v>
      </c>
      <c r="E8" s="13">
        <v>2130.2539999999999</v>
      </c>
    </row>
    <row r="9" spans="1:5" x14ac:dyDescent="0.25">
      <c r="A9" s="11" t="s">
        <v>37</v>
      </c>
      <c r="B9" s="13"/>
      <c r="C9" s="13">
        <v>568.90000000000009</v>
      </c>
      <c r="D9" s="13">
        <v>1174.55</v>
      </c>
      <c r="E9" s="13">
        <v>1743.45</v>
      </c>
    </row>
    <row r="10" spans="1:5" x14ac:dyDescent="0.25">
      <c r="A10" s="11" t="s">
        <v>15</v>
      </c>
      <c r="B10" s="13">
        <v>353.798</v>
      </c>
      <c r="C10" s="13">
        <v>866.32799999999997</v>
      </c>
      <c r="D10" s="13">
        <v>310.19800000000004</v>
      </c>
      <c r="E10" s="13">
        <v>1530.3240000000001</v>
      </c>
    </row>
    <row r="11" spans="1:5" x14ac:dyDescent="0.25">
      <c r="A11" s="11" t="s">
        <v>61</v>
      </c>
      <c r="B11" s="13">
        <v>2229.5039999999999</v>
      </c>
      <c r="C11" s="13">
        <v>2384.2600000000002</v>
      </c>
      <c r="D11" s="13">
        <v>2026.2520000000002</v>
      </c>
      <c r="E11" s="13">
        <v>6640.0159999999996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8"/>
  <sheetViews>
    <sheetView workbookViewId="0">
      <selection activeCell="A3" sqref="A3"/>
    </sheetView>
  </sheetViews>
  <sheetFormatPr baseColWidth="10" defaultRowHeight="15" x14ac:dyDescent="0.25"/>
  <cols>
    <col min="1" max="1" width="21" customWidth="1"/>
    <col min="2" max="2" width="23.85546875" bestFit="1" customWidth="1"/>
    <col min="3" max="3" width="6.7109375" customWidth="1"/>
    <col min="4" max="6" width="8" customWidth="1"/>
    <col min="7" max="7" width="7.7109375" customWidth="1"/>
    <col min="8" max="8" width="8.7109375" customWidth="1"/>
    <col min="9" max="9" width="7" customWidth="1"/>
    <col min="10" max="10" width="6.7109375" customWidth="1"/>
    <col min="11" max="12" width="7.7109375" customWidth="1"/>
    <col min="13" max="13" width="6.7109375" customWidth="1"/>
    <col min="14" max="15" width="7.7109375" customWidth="1"/>
    <col min="16" max="16" width="8" customWidth="1"/>
    <col min="17" max="17" width="7.7109375" customWidth="1"/>
    <col min="18" max="18" width="8" customWidth="1"/>
    <col min="19" max="19" width="6.7109375" customWidth="1"/>
    <col min="20" max="20" width="8" customWidth="1"/>
    <col min="21" max="21" width="6.7109375" customWidth="1"/>
    <col min="22" max="22" width="7.7109375" customWidth="1"/>
    <col min="23" max="23" width="12.5703125" bestFit="1" customWidth="1"/>
  </cols>
  <sheetData>
    <row r="3" spans="1:23" x14ac:dyDescent="0.25">
      <c r="A3" s="10" t="s">
        <v>64</v>
      </c>
      <c r="B3" s="10" t="s">
        <v>60</v>
      </c>
    </row>
    <row r="4" spans="1:23" x14ac:dyDescent="0.25">
      <c r="A4" s="10" t="s">
        <v>62</v>
      </c>
      <c r="B4" s="14">
        <v>36647</v>
      </c>
      <c r="C4" s="14">
        <v>36770</v>
      </c>
      <c r="D4" s="14">
        <v>37043</v>
      </c>
      <c r="E4" s="14">
        <v>37087</v>
      </c>
      <c r="F4" s="14">
        <v>37104</v>
      </c>
      <c r="G4" s="14">
        <v>37196</v>
      </c>
      <c r="H4" s="14">
        <v>37210</v>
      </c>
      <c r="I4" s="14">
        <v>37408</v>
      </c>
      <c r="J4" s="14">
        <v>37438</v>
      </c>
      <c r="K4" s="14">
        <v>37514</v>
      </c>
      <c r="L4" s="14">
        <v>37530</v>
      </c>
      <c r="M4" s="14">
        <v>37712</v>
      </c>
      <c r="N4" s="14">
        <v>37926</v>
      </c>
      <c r="O4" s="14">
        <v>38001</v>
      </c>
      <c r="P4" s="14">
        <v>38032</v>
      </c>
      <c r="Q4" s="14">
        <v>38061</v>
      </c>
      <c r="R4" s="14">
        <v>38153</v>
      </c>
      <c r="S4" s="14">
        <v>38231</v>
      </c>
      <c r="T4" s="14">
        <v>38487</v>
      </c>
      <c r="U4" s="14">
        <v>38504</v>
      </c>
      <c r="V4" s="14">
        <v>38657</v>
      </c>
      <c r="W4" s="14" t="s">
        <v>61</v>
      </c>
    </row>
    <row r="5" spans="1:23" x14ac:dyDescent="0.25">
      <c r="A5" s="11" t="s">
        <v>12</v>
      </c>
      <c r="B5" s="13"/>
      <c r="C5" s="13"/>
      <c r="D5" s="13">
        <v>356.31200000000001</v>
      </c>
      <c r="E5" s="13">
        <v>353.798</v>
      </c>
      <c r="F5" s="13"/>
      <c r="G5" s="13"/>
      <c r="H5" s="13">
        <v>271.74400000000003</v>
      </c>
      <c r="I5" s="13">
        <v>299.75</v>
      </c>
      <c r="J5" s="13"/>
      <c r="K5" s="13"/>
      <c r="L5" s="13"/>
      <c r="M5" s="13"/>
      <c r="N5" s="13">
        <v>425.75</v>
      </c>
      <c r="O5" s="13">
        <v>230.15</v>
      </c>
      <c r="P5" s="13"/>
      <c r="Q5" s="13"/>
      <c r="R5" s="13"/>
      <c r="S5" s="13">
        <v>292</v>
      </c>
      <c r="T5" s="13"/>
      <c r="U5" s="13"/>
      <c r="V5" s="13"/>
      <c r="W5" s="13">
        <v>2229.5039999999999</v>
      </c>
    </row>
    <row r="6" spans="1:23" x14ac:dyDescent="0.25">
      <c r="A6" s="11" t="s">
        <v>21</v>
      </c>
      <c r="B6" s="13">
        <v>318.91200000000003</v>
      </c>
      <c r="C6" s="13"/>
      <c r="D6" s="13"/>
      <c r="E6" s="13"/>
      <c r="F6" s="13"/>
      <c r="G6" s="13">
        <v>341.1</v>
      </c>
      <c r="H6" s="13"/>
      <c r="I6" s="13"/>
      <c r="J6" s="13"/>
      <c r="K6" s="13">
        <v>337.8</v>
      </c>
      <c r="L6" s="13">
        <v>251.10000000000002</v>
      </c>
      <c r="M6" s="13">
        <v>317.8</v>
      </c>
      <c r="N6" s="13"/>
      <c r="O6" s="13"/>
      <c r="P6" s="13">
        <v>270.13200000000001</v>
      </c>
      <c r="Q6" s="13"/>
      <c r="R6" s="13">
        <v>297.06599999999997</v>
      </c>
      <c r="S6" s="13"/>
      <c r="T6" s="13"/>
      <c r="U6" s="13"/>
      <c r="V6" s="13">
        <v>250.35000000000002</v>
      </c>
      <c r="W6" s="13">
        <v>2384.2600000000002</v>
      </c>
    </row>
    <row r="7" spans="1:23" x14ac:dyDescent="0.25">
      <c r="A7" s="11" t="s">
        <v>44</v>
      </c>
      <c r="B7" s="13"/>
      <c r="C7" s="13">
        <v>318</v>
      </c>
      <c r="D7" s="13"/>
      <c r="E7" s="13"/>
      <c r="F7" s="13">
        <v>310.19800000000004</v>
      </c>
      <c r="G7" s="13"/>
      <c r="H7" s="13"/>
      <c r="I7" s="13"/>
      <c r="J7" s="13">
        <v>557</v>
      </c>
      <c r="K7" s="13"/>
      <c r="L7" s="13"/>
      <c r="M7" s="13"/>
      <c r="N7" s="13"/>
      <c r="O7" s="13"/>
      <c r="P7" s="13"/>
      <c r="Q7" s="13">
        <v>299.55</v>
      </c>
      <c r="R7" s="13"/>
      <c r="S7" s="13"/>
      <c r="T7" s="13">
        <v>270.50400000000002</v>
      </c>
      <c r="U7" s="13">
        <v>271</v>
      </c>
      <c r="V7" s="13"/>
      <c r="W7" s="13">
        <v>2026.252</v>
      </c>
    </row>
    <row r="8" spans="1:23" x14ac:dyDescent="0.25">
      <c r="A8" s="11" t="s">
        <v>61</v>
      </c>
      <c r="B8" s="13">
        <v>318.91200000000003</v>
      </c>
      <c r="C8" s="13">
        <v>318</v>
      </c>
      <c r="D8" s="13">
        <v>356.31200000000001</v>
      </c>
      <c r="E8" s="13">
        <v>353.798</v>
      </c>
      <c r="F8" s="13">
        <v>310.19800000000004</v>
      </c>
      <c r="G8" s="13">
        <v>341.1</v>
      </c>
      <c r="H8" s="13">
        <v>271.74400000000003</v>
      </c>
      <c r="I8" s="13">
        <v>299.75</v>
      </c>
      <c r="J8" s="13">
        <v>557</v>
      </c>
      <c r="K8" s="13">
        <v>337.8</v>
      </c>
      <c r="L8" s="13">
        <v>251.10000000000002</v>
      </c>
      <c r="M8" s="13">
        <v>317.8</v>
      </c>
      <c r="N8" s="13">
        <v>425.75</v>
      </c>
      <c r="O8" s="13">
        <v>230.15</v>
      </c>
      <c r="P8" s="13">
        <v>270.13200000000001</v>
      </c>
      <c r="Q8" s="13">
        <v>299.55</v>
      </c>
      <c r="R8" s="13">
        <v>297.06599999999997</v>
      </c>
      <c r="S8" s="13">
        <v>292</v>
      </c>
      <c r="T8" s="13">
        <v>270.50400000000002</v>
      </c>
      <c r="U8" s="13">
        <v>271</v>
      </c>
      <c r="V8" s="13">
        <v>250.35000000000002</v>
      </c>
      <c r="W8" s="13">
        <v>6640.0159999999996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5"/>
  <sheetViews>
    <sheetView workbookViewId="0">
      <selection activeCell="A3" sqref="A3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9" customWidth="1"/>
    <col min="4" max="4" width="10.42578125" customWidth="1"/>
    <col min="5" max="5" width="12.5703125" customWidth="1"/>
    <col min="6" max="6" width="16.5703125" bestFit="1" customWidth="1"/>
    <col min="7" max="7" width="18.140625" bestFit="1" customWidth="1"/>
    <col min="8" max="8" width="21.5703125" bestFit="1" customWidth="1"/>
    <col min="9" max="9" width="23.140625" bestFit="1" customWidth="1"/>
  </cols>
  <sheetData>
    <row r="3" spans="1:5" x14ac:dyDescent="0.25">
      <c r="A3" s="10" t="s">
        <v>63</v>
      </c>
      <c r="B3" s="10" t="s">
        <v>60</v>
      </c>
    </row>
    <row r="4" spans="1:5" x14ac:dyDescent="0.25">
      <c r="A4" s="10" t="s">
        <v>62</v>
      </c>
      <c r="B4" t="s">
        <v>12</v>
      </c>
      <c r="C4" t="s">
        <v>21</v>
      </c>
      <c r="D4" t="s">
        <v>44</v>
      </c>
      <c r="E4" t="s">
        <v>61</v>
      </c>
    </row>
    <row r="5" spans="1:5" x14ac:dyDescent="0.25">
      <c r="A5" s="11" t="s">
        <v>13</v>
      </c>
      <c r="B5" s="13">
        <v>2122.788</v>
      </c>
      <c r="C5" s="13"/>
      <c r="D5" s="13"/>
      <c r="E5" s="13">
        <v>2122.788</v>
      </c>
    </row>
    <row r="6" spans="1:5" x14ac:dyDescent="0.25">
      <c r="A6" s="11" t="s">
        <v>50</v>
      </c>
      <c r="B6" s="13"/>
      <c r="C6" s="13"/>
      <c r="D6" s="13">
        <v>1797.3</v>
      </c>
      <c r="E6" s="13">
        <v>1797.3</v>
      </c>
    </row>
    <row r="7" spans="1:5" x14ac:dyDescent="0.25">
      <c r="A7" s="11" t="s">
        <v>52</v>
      </c>
      <c r="B7" s="13"/>
      <c r="C7" s="13"/>
      <c r="D7" s="13">
        <v>1626</v>
      </c>
      <c r="E7" s="13">
        <v>1626</v>
      </c>
    </row>
    <row r="8" spans="1:5" x14ac:dyDescent="0.25">
      <c r="A8" s="11" t="s">
        <v>16</v>
      </c>
      <c r="B8" s="13">
        <v>1798.5</v>
      </c>
      <c r="C8" s="13"/>
      <c r="D8" s="13"/>
      <c r="E8" s="13">
        <v>1798.5</v>
      </c>
    </row>
    <row r="9" spans="1:5" x14ac:dyDescent="0.25">
      <c r="A9" s="11" t="s">
        <v>35</v>
      </c>
      <c r="B9" s="13"/>
      <c r="C9" s="13">
        <v>1506.6</v>
      </c>
      <c r="D9" s="13"/>
      <c r="E9" s="13">
        <v>1506.6</v>
      </c>
    </row>
    <row r="10" spans="1:5" x14ac:dyDescent="0.25">
      <c r="A10" s="11" t="s">
        <v>29</v>
      </c>
      <c r="B10" s="13">
        <v>1752</v>
      </c>
      <c r="C10" s="13"/>
      <c r="D10" s="13"/>
      <c r="E10" s="13">
        <v>1752</v>
      </c>
    </row>
    <row r="11" spans="1:5" x14ac:dyDescent="0.25">
      <c r="A11" s="11" t="s">
        <v>9</v>
      </c>
      <c r="B11" s="13">
        <v>2137.8719999999998</v>
      </c>
      <c r="C11" s="13"/>
      <c r="D11" s="13"/>
      <c r="E11" s="13">
        <v>2137.8719999999998</v>
      </c>
    </row>
    <row r="12" spans="1:5" x14ac:dyDescent="0.25">
      <c r="A12" s="11" t="s">
        <v>24</v>
      </c>
      <c r="B12" s="13">
        <v>1630.4639999999999</v>
      </c>
      <c r="C12" s="13"/>
      <c r="D12" s="13">
        <v>1908</v>
      </c>
      <c r="E12" s="13">
        <v>3538.4639999999999</v>
      </c>
    </row>
    <row r="13" spans="1:5" x14ac:dyDescent="0.25">
      <c r="A13" s="11" t="s">
        <v>40</v>
      </c>
      <c r="B13" s="13"/>
      <c r="C13" s="13">
        <v>1906.8</v>
      </c>
      <c r="D13" s="13"/>
      <c r="E13" s="13">
        <v>1906.8</v>
      </c>
    </row>
    <row r="14" spans="1:5" x14ac:dyDescent="0.25">
      <c r="A14" s="11" t="s">
        <v>57</v>
      </c>
      <c r="B14" s="13"/>
      <c r="C14" s="13"/>
      <c r="D14" s="13">
        <v>1623.0239999999999</v>
      </c>
      <c r="E14" s="13">
        <v>1623.0239999999999</v>
      </c>
    </row>
    <row r="15" spans="1:5" x14ac:dyDescent="0.25">
      <c r="A15" s="11" t="s">
        <v>27</v>
      </c>
      <c r="B15" s="13"/>
      <c r="C15" s="13">
        <v>2026.8</v>
      </c>
      <c r="D15" s="13"/>
      <c r="E15" s="13">
        <v>2026.8</v>
      </c>
    </row>
    <row r="16" spans="1:5" x14ac:dyDescent="0.25">
      <c r="A16" s="11" t="s">
        <v>45</v>
      </c>
      <c r="B16" s="13"/>
      <c r="C16" s="13">
        <v>1620.7920000000001</v>
      </c>
      <c r="D16" s="13"/>
      <c r="E16" s="13">
        <v>1620.7920000000001</v>
      </c>
    </row>
    <row r="17" spans="1:5" x14ac:dyDescent="0.25">
      <c r="A17" s="11" t="s">
        <v>22</v>
      </c>
      <c r="B17" s="13"/>
      <c r="C17" s="13">
        <v>1502.1</v>
      </c>
      <c r="D17" s="13"/>
      <c r="E17" s="13">
        <v>1502.1</v>
      </c>
    </row>
    <row r="18" spans="1:5" x14ac:dyDescent="0.25">
      <c r="A18" s="11" t="s">
        <v>19</v>
      </c>
      <c r="B18" s="13"/>
      <c r="C18" s="13">
        <v>1913.472</v>
      </c>
      <c r="D18" s="13"/>
      <c r="E18" s="13">
        <v>1913.472</v>
      </c>
    </row>
    <row r="19" spans="1:5" x14ac:dyDescent="0.25">
      <c r="A19" s="11" t="s">
        <v>48</v>
      </c>
      <c r="B19" s="13"/>
      <c r="C19" s="13">
        <v>2046.6</v>
      </c>
      <c r="D19" s="13"/>
      <c r="E19" s="13">
        <v>2046.6</v>
      </c>
    </row>
    <row r="20" spans="1:5" x14ac:dyDescent="0.25">
      <c r="A20" s="11" t="s">
        <v>42</v>
      </c>
      <c r="B20" s="13"/>
      <c r="C20" s="13"/>
      <c r="D20" s="13">
        <v>3342</v>
      </c>
      <c r="E20" s="13">
        <v>3342</v>
      </c>
    </row>
    <row r="21" spans="1:5" x14ac:dyDescent="0.25">
      <c r="A21" s="11" t="s">
        <v>55</v>
      </c>
      <c r="B21" s="13"/>
      <c r="C21" s="13"/>
      <c r="D21" s="13">
        <v>1861.1880000000001</v>
      </c>
      <c r="E21" s="13">
        <v>1861.1880000000001</v>
      </c>
    </row>
    <row r="22" spans="1:5" x14ac:dyDescent="0.25">
      <c r="A22" s="11" t="s">
        <v>31</v>
      </c>
      <c r="B22" s="13">
        <v>2554.5</v>
      </c>
      <c r="C22" s="13"/>
      <c r="D22" s="13"/>
      <c r="E22" s="13">
        <v>2554.5</v>
      </c>
    </row>
    <row r="23" spans="1:5" x14ac:dyDescent="0.25">
      <c r="A23" s="11" t="s">
        <v>38</v>
      </c>
      <c r="B23" s="13"/>
      <c r="C23" s="13">
        <v>1782.396</v>
      </c>
      <c r="D23" s="13"/>
      <c r="E23" s="13">
        <v>1782.396</v>
      </c>
    </row>
    <row r="24" spans="1:5" x14ac:dyDescent="0.25">
      <c r="A24" s="11" t="s">
        <v>33</v>
      </c>
      <c r="B24" s="13">
        <v>1380.9</v>
      </c>
      <c r="C24" s="13"/>
      <c r="D24" s="13"/>
      <c r="E24" s="13">
        <v>1380.9</v>
      </c>
    </row>
    <row r="25" spans="1:5" x14ac:dyDescent="0.25">
      <c r="A25" s="11" t="s">
        <v>61</v>
      </c>
      <c r="B25" s="13">
        <v>13377.023999999999</v>
      </c>
      <c r="C25" s="13">
        <v>14305.560000000001</v>
      </c>
      <c r="D25" s="13">
        <v>12157.512000000001</v>
      </c>
      <c r="E25" s="13">
        <v>39840.096000000005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sqref="A1:I1"/>
    </sheetView>
  </sheetViews>
  <sheetFormatPr baseColWidth="10" defaultRowHeight="15" x14ac:dyDescent="0.25"/>
  <cols>
    <col min="3" max="3" width="19.85546875" customWidth="1"/>
    <col min="5" max="5" width="17.5703125" customWidth="1"/>
    <col min="6" max="6" width="12.140625" customWidth="1"/>
    <col min="7" max="9" width="14.7109375" customWidth="1"/>
  </cols>
  <sheetData>
    <row r="1" spans="1:9" ht="36" x14ac:dyDescent="0.55000000000000004">
      <c r="A1" s="15" t="s">
        <v>59</v>
      </c>
      <c r="B1" s="15"/>
      <c r="C1" s="15"/>
      <c r="D1" s="15"/>
      <c r="E1" s="15"/>
      <c r="F1" s="15"/>
      <c r="G1" s="15"/>
      <c r="H1" s="15"/>
      <c r="I1" s="15"/>
    </row>
    <row r="3" spans="1:9" ht="36" x14ac:dyDescent="0.2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8</v>
      </c>
    </row>
    <row r="4" spans="1:9" ht="16.5" x14ac:dyDescent="0.35">
      <c r="A4" s="4" t="s">
        <v>9</v>
      </c>
      <c r="B4" s="5" t="s">
        <v>10</v>
      </c>
      <c r="C4" s="6" t="s">
        <v>11</v>
      </c>
      <c r="D4" s="6" t="s">
        <v>12</v>
      </c>
      <c r="E4" s="7">
        <v>37043</v>
      </c>
      <c r="F4" s="8" t="str">
        <f ca="1">DATEDIF(E4,TODAY(),"y")&amp;" ans"</f>
        <v>10 ans</v>
      </c>
      <c r="G4" s="9">
        <v>1781.56</v>
      </c>
      <c r="H4" s="9">
        <f ca="1">IF((DATEDIF(E4,NOW(),"y"))&gt;=3,G4*20%,0)</f>
        <v>356.31200000000001</v>
      </c>
      <c r="I4" s="9">
        <f ca="1">SUM(G4:H4)</f>
        <v>2137.8719999999998</v>
      </c>
    </row>
    <row r="5" spans="1:9" ht="16.5" x14ac:dyDescent="0.35">
      <c r="A5" s="4" t="s">
        <v>13</v>
      </c>
      <c r="B5" s="5" t="s">
        <v>14</v>
      </c>
      <c r="C5" s="6" t="s">
        <v>15</v>
      </c>
      <c r="D5" s="6" t="s">
        <v>12</v>
      </c>
      <c r="E5" s="7">
        <v>37087</v>
      </c>
      <c r="F5" s="8" t="str">
        <f t="shared" ref="F5:F24" ca="1" si="0">DATEDIF(E5,TODAY(),"y")&amp;" ans"</f>
        <v>10 ans</v>
      </c>
      <c r="G5" s="9">
        <v>1768.99</v>
      </c>
      <c r="H5" s="9">
        <f t="shared" ref="H5:H24" ca="1" si="1">IF((DATEDIF(E5,NOW(),"y"))&gt;=3,G5*20%,0)</f>
        <v>353.798</v>
      </c>
      <c r="I5" s="9">
        <f t="shared" ref="I5:I24" ca="1" si="2">SUM(G5:H5)</f>
        <v>2122.788</v>
      </c>
    </row>
    <row r="6" spans="1:9" ht="16.5" x14ac:dyDescent="0.35">
      <c r="A6" s="4" t="s">
        <v>16</v>
      </c>
      <c r="B6" s="5" t="s">
        <v>17</v>
      </c>
      <c r="C6" s="6" t="s">
        <v>18</v>
      </c>
      <c r="D6" s="6" t="s">
        <v>12</v>
      </c>
      <c r="E6" s="7">
        <v>37408</v>
      </c>
      <c r="F6" s="8" t="str">
        <f t="shared" ca="1" si="0"/>
        <v>9 ans</v>
      </c>
      <c r="G6" s="9">
        <v>1498.75</v>
      </c>
      <c r="H6" s="9">
        <f t="shared" ca="1" si="1"/>
        <v>299.75</v>
      </c>
      <c r="I6" s="9">
        <f t="shared" ca="1" si="2"/>
        <v>1798.5</v>
      </c>
    </row>
    <row r="7" spans="1:9" ht="16.5" x14ac:dyDescent="0.35">
      <c r="A7" s="4" t="s">
        <v>19</v>
      </c>
      <c r="B7" s="5" t="s">
        <v>20</v>
      </c>
      <c r="C7" s="6" t="s">
        <v>15</v>
      </c>
      <c r="D7" s="6" t="s">
        <v>21</v>
      </c>
      <c r="E7" s="7">
        <v>36647</v>
      </c>
      <c r="F7" s="8" t="str">
        <f t="shared" ca="1" si="0"/>
        <v>12 ans</v>
      </c>
      <c r="G7" s="9">
        <v>1594.56</v>
      </c>
      <c r="H7" s="9">
        <f t="shared" ca="1" si="1"/>
        <v>318.91200000000003</v>
      </c>
      <c r="I7" s="9">
        <f t="shared" ca="1" si="2"/>
        <v>1913.472</v>
      </c>
    </row>
    <row r="8" spans="1:9" ht="16.5" x14ac:dyDescent="0.35">
      <c r="A8" s="4" t="s">
        <v>22</v>
      </c>
      <c r="B8" s="5" t="s">
        <v>23</v>
      </c>
      <c r="C8" s="6" t="s">
        <v>15</v>
      </c>
      <c r="D8" s="6" t="s">
        <v>21</v>
      </c>
      <c r="E8" s="7">
        <v>38657</v>
      </c>
      <c r="F8" s="8" t="str">
        <f t="shared" ca="1" si="0"/>
        <v>6 ans</v>
      </c>
      <c r="G8" s="9">
        <v>1251.75</v>
      </c>
      <c r="H8" s="9">
        <f t="shared" ca="1" si="1"/>
        <v>250.35000000000002</v>
      </c>
      <c r="I8" s="9">
        <f t="shared" ca="1" si="2"/>
        <v>1502.1</v>
      </c>
    </row>
    <row r="9" spans="1:9" ht="16.5" x14ac:dyDescent="0.35">
      <c r="A9" s="4" t="s">
        <v>24</v>
      </c>
      <c r="B9" s="5" t="s">
        <v>25</v>
      </c>
      <c r="C9" s="6" t="s">
        <v>26</v>
      </c>
      <c r="D9" s="6" t="s">
        <v>12</v>
      </c>
      <c r="E9" s="7">
        <v>37210</v>
      </c>
      <c r="F9" s="8" t="str">
        <f t="shared" ca="1" si="0"/>
        <v>10 ans</v>
      </c>
      <c r="G9" s="9">
        <v>1358.72</v>
      </c>
      <c r="H9" s="9">
        <f t="shared" ca="1" si="1"/>
        <v>271.74400000000003</v>
      </c>
      <c r="I9" s="9">
        <f t="shared" ca="1" si="2"/>
        <v>1630.4639999999999</v>
      </c>
    </row>
    <row r="10" spans="1:9" ht="16.5" x14ac:dyDescent="0.35">
      <c r="A10" s="4" t="s">
        <v>27</v>
      </c>
      <c r="B10" s="5" t="s">
        <v>28</v>
      </c>
      <c r="C10" s="6" t="s">
        <v>26</v>
      </c>
      <c r="D10" s="6" t="s">
        <v>21</v>
      </c>
      <c r="E10" s="7">
        <v>37514</v>
      </c>
      <c r="F10" s="8" t="str">
        <f t="shared" ca="1" si="0"/>
        <v>9 ans</v>
      </c>
      <c r="G10" s="9">
        <v>1689</v>
      </c>
      <c r="H10" s="9">
        <f t="shared" ca="1" si="1"/>
        <v>337.8</v>
      </c>
      <c r="I10" s="9">
        <f t="shared" ca="1" si="2"/>
        <v>2026.8</v>
      </c>
    </row>
    <row r="11" spans="1:9" ht="16.5" x14ac:dyDescent="0.35">
      <c r="A11" s="4" t="s">
        <v>29</v>
      </c>
      <c r="B11" s="5" t="s">
        <v>30</v>
      </c>
      <c r="C11" s="6" t="s">
        <v>18</v>
      </c>
      <c r="D11" s="6" t="s">
        <v>12</v>
      </c>
      <c r="E11" s="7">
        <v>38231</v>
      </c>
      <c r="F11" s="8" t="str">
        <f t="shared" ca="1" si="0"/>
        <v>7 ans</v>
      </c>
      <c r="G11" s="9">
        <v>1460</v>
      </c>
      <c r="H11" s="9">
        <f t="shared" ca="1" si="1"/>
        <v>292</v>
      </c>
      <c r="I11" s="9">
        <f t="shared" ca="1" si="2"/>
        <v>1752</v>
      </c>
    </row>
    <row r="12" spans="1:9" ht="16.5" x14ac:dyDescent="0.35">
      <c r="A12" s="4" t="s">
        <v>31</v>
      </c>
      <c r="B12" s="5" t="s">
        <v>32</v>
      </c>
      <c r="C12" s="6" t="s">
        <v>18</v>
      </c>
      <c r="D12" s="6" t="s">
        <v>12</v>
      </c>
      <c r="E12" s="7">
        <v>37926</v>
      </c>
      <c r="F12" s="8" t="str">
        <f t="shared" ca="1" si="0"/>
        <v>8 ans</v>
      </c>
      <c r="G12" s="9">
        <v>2128.75</v>
      </c>
      <c r="H12" s="9">
        <f t="shared" ca="1" si="1"/>
        <v>425.75</v>
      </c>
      <c r="I12" s="9">
        <f t="shared" ca="1" si="2"/>
        <v>2554.5</v>
      </c>
    </row>
    <row r="13" spans="1:9" ht="16.5" x14ac:dyDescent="0.35">
      <c r="A13" s="4" t="s">
        <v>33</v>
      </c>
      <c r="B13" s="5" t="s">
        <v>34</v>
      </c>
      <c r="C13" s="6" t="s">
        <v>18</v>
      </c>
      <c r="D13" s="6" t="s">
        <v>12</v>
      </c>
      <c r="E13" s="7">
        <v>38001</v>
      </c>
      <c r="F13" s="8" t="str">
        <f t="shared" ca="1" si="0"/>
        <v>8 ans</v>
      </c>
      <c r="G13" s="9">
        <v>1150.75</v>
      </c>
      <c r="H13" s="9">
        <f t="shared" ca="1" si="1"/>
        <v>230.15</v>
      </c>
      <c r="I13" s="9">
        <f t="shared" ca="1" si="2"/>
        <v>1380.9</v>
      </c>
    </row>
    <row r="14" spans="1:9" ht="16.5" x14ac:dyDescent="0.35">
      <c r="A14" s="4" t="s">
        <v>35</v>
      </c>
      <c r="B14" s="5" t="s">
        <v>36</v>
      </c>
      <c r="C14" s="6" t="s">
        <v>37</v>
      </c>
      <c r="D14" s="6" t="s">
        <v>21</v>
      </c>
      <c r="E14" s="7">
        <v>37530</v>
      </c>
      <c r="F14" s="8" t="str">
        <f t="shared" ca="1" si="0"/>
        <v>9 ans</v>
      </c>
      <c r="G14" s="9">
        <v>1255.5</v>
      </c>
      <c r="H14" s="9">
        <f t="shared" ca="1" si="1"/>
        <v>251.10000000000002</v>
      </c>
      <c r="I14" s="9">
        <f t="shared" ca="1" si="2"/>
        <v>1506.6</v>
      </c>
    </row>
    <row r="15" spans="1:9" ht="16.5" x14ac:dyDescent="0.35">
      <c r="A15" s="4" t="s">
        <v>38</v>
      </c>
      <c r="B15" s="5" t="s">
        <v>39</v>
      </c>
      <c r="C15" s="6" t="s">
        <v>15</v>
      </c>
      <c r="D15" s="6" t="s">
        <v>21</v>
      </c>
      <c r="E15" s="7">
        <v>38153</v>
      </c>
      <c r="F15" s="8" t="str">
        <f t="shared" ca="1" si="0"/>
        <v>7 ans</v>
      </c>
      <c r="G15" s="9">
        <v>1485.33</v>
      </c>
      <c r="H15" s="9">
        <f t="shared" ca="1" si="1"/>
        <v>297.06599999999997</v>
      </c>
      <c r="I15" s="9">
        <f t="shared" ca="1" si="2"/>
        <v>1782.396</v>
      </c>
    </row>
    <row r="16" spans="1:9" ht="16.5" x14ac:dyDescent="0.35">
      <c r="A16" s="4" t="s">
        <v>40</v>
      </c>
      <c r="B16" s="5" t="s">
        <v>41</v>
      </c>
      <c r="C16" s="6" t="s">
        <v>37</v>
      </c>
      <c r="D16" s="6" t="s">
        <v>21</v>
      </c>
      <c r="E16" s="7">
        <v>37712</v>
      </c>
      <c r="F16" s="8" t="str">
        <f t="shared" ca="1" si="0"/>
        <v>9 ans</v>
      </c>
      <c r="G16" s="9">
        <v>1589</v>
      </c>
      <c r="H16" s="9">
        <f t="shared" ca="1" si="1"/>
        <v>317.8</v>
      </c>
      <c r="I16" s="9">
        <f t="shared" ca="1" si="2"/>
        <v>1906.8</v>
      </c>
    </row>
    <row r="17" spans="1:9" ht="16.5" x14ac:dyDescent="0.35">
      <c r="A17" s="4" t="s">
        <v>42</v>
      </c>
      <c r="B17" s="5" t="s">
        <v>43</v>
      </c>
      <c r="C17" s="6" t="s">
        <v>37</v>
      </c>
      <c r="D17" s="6" t="s">
        <v>44</v>
      </c>
      <c r="E17" s="7">
        <v>37438</v>
      </c>
      <c r="F17" s="8" t="str">
        <f t="shared" ca="1" si="0"/>
        <v>9 ans</v>
      </c>
      <c r="G17" s="9">
        <v>2785</v>
      </c>
      <c r="H17" s="9">
        <f t="shared" ca="1" si="1"/>
        <v>557</v>
      </c>
      <c r="I17" s="9">
        <f t="shared" ca="1" si="2"/>
        <v>3342</v>
      </c>
    </row>
    <row r="18" spans="1:9" ht="16.5" x14ac:dyDescent="0.35">
      <c r="A18" s="4" t="s">
        <v>45</v>
      </c>
      <c r="B18" s="5" t="s">
        <v>46</v>
      </c>
      <c r="C18" s="6" t="s">
        <v>47</v>
      </c>
      <c r="D18" s="6" t="s">
        <v>21</v>
      </c>
      <c r="E18" s="7">
        <v>38032</v>
      </c>
      <c r="F18" s="8" t="str">
        <f t="shared" ca="1" si="0"/>
        <v>8 ans</v>
      </c>
      <c r="G18" s="9">
        <v>1350.66</v>
      </c>
      <c r="H18" s="9">
        <f t="shared" ca="1" si="1"/>
        <v>270.13200000000001</v>
      </c>
      <c r="I18" s="9">
        <f t="shared" ca="1" si="2"/>
        <v>1620.7920000000001</v>
      </c>
    </row>
    <row r="19" spans="1:9" ht="16.5" x14ac:dyDescent="0.35">
      <c r="A19" s="4" t="s">
        <v>48</v>
      </c>
      <c r="B19" s="5" t="s">
        <v>49</v>
      </c>
      <c r="C19" s="6" t="s">
        <v>18</v>
      </c>
      <c r="D19" s="6" t="s">
        <v>21</v>
      </c>
      <c r="E19" s="7">
        <v>37196</v>
      </c>
      <c r="F19" s="8" t="str">
        <f t="shared" ca="1" si="0"/>
        <v>10 ans</v>
      </c>
      <c r="G19" s="9">
        <v>1705.5</v>
      </c>
      <c r="H19" s="9">
        <f t="shared" ca="1" si="1"/>
        <v>341.1</v>
      </c>
      <c r="I19" s="9">
        <f t="shared" ca="1" si="2"/>
        <v>2046.6</v>
      </c>
    </row>
    <row r="20" spans="1:9" ht="16.5" x14ac:dyDescent="0.35">
      <c r="A20" s="4" t="s">
        <v>50</v>
      </c>
      <c r="B20" s="5" t="s">
        <v>51</v>
      </c>
      <c r="C20" s="6" t="s">
        <v>37</v>
      </c>
      <c r="D20" s="6" t="s">
        <v>44</v>
      </c>
      <c r="E20" s="7">
        <v>38061</v>
      </c>
      <c r="F20" s="8" t="str">
        <f t="shared" ca="1" si="0"/>
        <v>8 ans</v>
      </c>
      <c r="G20" s="9">
        <v>1497.75</v>
      </c>
      <c r="H20" s="9">
        <f t="shared" ca="1" si="1"/>
        <v>299.55</v>
      </c>
      <c r="I20" s="9">
        <f t="shared" ca="1" si="2"/>
        <v>1797.3</v>
      </c>
    </row>
    <row r="21" spans="1:9" ht="16.5" x14ac:dyDescent="0.35">
      <c r="A21" s="4" t="s">
        <v>52</v>
      </c>
      <c r="B21" s="5" t="s">
        <v>53</v>
      </c>
      <c r="C21" s="6" t="s">
        <v>18</v>
      </c>
      <c r="D21" s="6" t="s">
        <v>44</v>
      </c>
      <c r="E21" s="7">
        <v>38504</v>
      </c>
      <c r="F21" s="8" t="str">
        <f t="shared" ca="1" si="0"/>
        <v>6 ans</v>
      </c>
      <c r="G21" s="9">
        <v>1355</v>
      </c>
      <c r="H21" s="9">
        <f t="shared" ca="1" si="1"/>
        <v>271</v>
      </c>
      <c r="I21" s="9">
        <f t="shared" ca="1" si="2"/>
        <v>1626</v>
      </c>
    </row>
    <row r="22" spans="1:9" ht="16.5" x14ac:dyDescent="0.35">
      <c r="A22" s="4" t="s">
        <v>24</v>
      </c>
      <c r="B22" s="5" t="s">
        <v>54</v>
      </c>
      <c r="C22" s="6" t="s">
        <v>37</v>
      </c>
      <c r="D22" s="6" t="s">
        <v>44</v>
      </c>
      <c r="E22" s="7">
        <v>36770</v>
      </c>
      <c r="F22" s="8" t="str">
        <f t="shared" ca="1" si="0"/>
        <v>11 ans</v>
      </c>
      <c r="G22" s="9">
        <v>1590</v>
      </c>
      <c r="H22" s="9">
        <f t="shared" ca="1" si="1"/>
        <v>318</v>
      </c>
      <c r="I22" s="9">
        <f t="shared" ca="1" si="2"/>
        <v>1908</v>
      </c>
    </row>
    <row r="23" spans="1:9" ht="16.5" x14ac:dyDescent="0.35">
      <c r="A23" s="4" t="s">
        <v>55</v>
      </c>
      <c r="B23" s="5" t="s">
        <v>56</v>
      </c>
      <c r="C23" s="6" t="s">
        <v>15</v>
      </c>
      <c r="D23" s="6" t="s">
        <v>44</v>
      </c>
      <c r="E23" s="7">
        <v>37104</v>
      </c>
      <c r="F23" s="8" t="str">
        <f t="shared" ca="1" si="0"/>
        <v>10 ans</v>
      </c>
      <c r="G23" s="9">
        <v>1550.99</v>
      </c>
      <c r="H23" s="9">
        <f t="shared" ca="1" si="1"/>
        <v>310.19800000000004</v>
      </c>
      <c r="I23" s="9">
        <f t="shared" ca="1" si="2"/>
        <v>1861.1880000000001</v>
      </c>
    </row>
    <row r="24" spans="1:9" ht="16.5" x14ac:dyDescent="0.35">
      <c r="A24" s="4" t="s">
        <v>57</v>
      </c>
      <c r="B24" s="5" t="s">
        <v>58</v>
      </c>
      <c r="C24" s="6" t="s">
        <v>18</v>
      </c>
      <c r="D24" s="6" t="s">
        <v>44</v>
      </c>
      <c r="E24" s="7">
        <v>38487</v>
      </c>
      <c r="F24" s="8" t="str">
        <f t="shared" ca="1" si="0"/>
        <v>6 ans</v>
      </c>
      <c r="G24" s="9">
        <v>1352.52</v>
      </c>
      <c r="H24" s="9">
        <f t="shared" ca="1" si="1"/>
        <v>270.50400000000002</v>
      </c>
      <c r="I24" s="9">
        <f t="shared" ca="1" si="2"/>
        <v>1623.0239999999999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Salaire par ville et par date</vt:lpstr>
      <vt:lpstr>Prime en %</vt:lpstr>
      <vt:lpstr>Prime par ville et par date</vt:lpstr>
      <vt:lpstr>Charges patronales</vt:lpstr>
      <vt:lpstr>Relevé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Lucat</dc:creator>
  <cp:lastModifiedBy>Pierre Lucat</cp:lastModifiedBy>
  <dcterms:created xsi:type="dcterms:W3CDTF">2012-05-09T13:12:27Z</dcterms:created>
  <dcterms:modified xsi:type="dcterms:W3CDTF">2012-05-10T09:42:54Z</dcterms:modified>
</cp:coreProperties>
</file>
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ormation Mos Excel expert 2019\Examen blanc1 Excel expert 2019\"/>
    </mc:Choice>
  </mc:AlternateContent>
  <xr:revisionPtr revIDLastSave="0" documentId="13_ncr:1_{FADC0B5A-3C3D-4050-96B1-D01AF93CA0B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ventaire" sheetId="1" r:id="rId1"/>
    <sheet name="Nouveaux produits" sheetId="5" r:id="rId2"/>
    <sheet name="Ventes au détail" sheetId="4" r:id="rId3"/>
    <sheet name="Analyse des ventes au détail" sheetId="6" r:id="rId4"/>
    <sheet name="Graphique des ventes au détail" sheetId="7" r:id="rId5"/>
    <sheet name="Employés" sheetId="2" r:id="rId6"/>
  </sheets>
  <definedNames>
    <definedName name="Produit">Tableau1[]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D5" i="4"/>
  <c r="D6" i="4"/>
  <c r="D7" i="4"/>
  <c r="D8" i="4"/>
  <c r="D4" i="4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4" i="5"/>
  <c r="E13" i="4"/>
  <c r="E12" i="4"/>
  <c r="E11" i="4"/>
  <c r="E10" i="4"/>
  <c r="C13" i="4"/>
  <c r="C12" i="4"/>
  <c r="C11" i="4"/>
  <c r="C10" i="4"/>
  <c r="D10" i="4" l="1"/>
  <c r="D12" i="4"/>
  <c r="D13" i="4"/>
  <c r="D11" i="4"/>
</calcChain>
</file>

<file path=xl/sharedStrings.xml><?xml version="1.0" encoding="utf-8"?>
<sst xmlns="http://schemas.openxmlformats.org/spreadsheetml/2006/main" count="169" uniqueCount="118">
  <si>
    <t>Code produit</t>
  </si>
  <si>
    <t>Nom du produit</t>
  </si>
  <si>
    <t>Tranche d âge</t>
  </si>
  <si>
    <t>Prix de gros</t>
  </si>
  <si>
    <t>Prix de détail</t>
  </si>
  <si>
    <t>0-Dinosaur</t>
  </si>
  <si>
    <t>Tête de dinosaure</t>
  </si>
  <si>
    <t>0-5 mois</t>
  </si>
  <si>
    <t>4-Motors</t>
  </si>
  <si>
    <t>Moteurs</t>
  </si>
  <si>
    <t>4 ans</t>
  </si>
  <si>
    <t>0-Speak&amp;Do</t>
  </si>
  <si>
    <t>Coucou</t>
  </si>
  <si>
    <t>0-Squeak</t>
  </si>
  <si>
    <t>Boule de coccinelle</t>
  </si>
  <si>
    <t>0-Butterfly</t>
  </si>
  <si>
    <t>Boomerang Papillon</t>
  </si>
  <si>
    <t>6-12Co</t>
  </si>
  <si>
    <t>Sifflet sur la voie</t>
  </si>
  <si>
    <t>6-12 mois</t>
  </si>
  <si>
    <t>6-12My</t>
  </si>
  <si>
    <t>Ma maison</t>
  </si>
  <si>
    <t>18Music</t>
  </si>
  <si>
    <t>Fille de moustiques</t>
  </si>
  <si>
    <t>+ de 8 ans</t>
  </si>
  <si>
    <t>6-12Wobbly</t>
  </si>
  <si>
    <t>Pingouin chancelant</t>
  </si>
  <si>
    <t>6-12Shake</t>
  </si>
  <si>
    <t>Secoue, secoue n jette</t>
  </si>
  <si>
    <t>6-12Block</t>
  </si>
  <si>
    <t>Blocs de construction</t>
  </si>
  <si>
    <t>6-12Shape</t>
  </si>
  <si>
    <t>Mets en forme</t>
  </si>
  <si>
    <t>6-12Wheel</t>
  </si>
  <si>
    <t>Roues</t>
  </si>
  <si>
    <t>0-SLadybug</t>
  </si>
  <si>
    <t>6-12Gear</t>
  </si>
  <si>
    <t>Vitesses</t>
  </si>
  <si>
    <t>6-12Tree</t>
  </si>
  <si>
    <t>Appui et démarre</t>
  </si>
  <si>
    <t>1Building</t>
  </si>
  <si>
    <t>Construire en s amusant</t>
  </si>
  <si>
    <t>1 an</t>
  </si>
  <si>
    <t>Jouets Tailspin</t>
  </si>
  <si>
    <t>Jouets éducatifs pour tous les âges</t>
  </si>
  <si>
    <t>Code du produit</t>
  </si>
  <si>
    <t>ID</t>
  </si>
  <si>
    <t>Nom de l employé</t>
  </si>
  <si>
    <t>Service</t>
  </si>
  <si>
    <t>Années</t>
  </si>
  <si>
    <t>Salaire</t>
  </si>
  <si>
    <t>Prime</t>
  </si>
  <si>
    <t>Hartwig, Doris</t>
  </si>
  <si>
    <t>Comptabilité</t>
  </si>
  <si>
    <t>Mu, Zhang</t>
  </si>
  <si>
    <t>Decker, Barbara S.</t>
  </si>
  <si>
    <t>D.P.G.</t>
  </si>
  <si>
    <t>Groncki, Douglas</t>
  </si>
  <si>
    <t>Directeur financier</t>
  </si>
  <si>
    <t>Clark, Molly</t>
  </si>
  <si>
    <t>Directeur des systèmes d information</t>
  </si>
  <si>
    <t>Peterson, Wolfgang</t>
  </si>
  <si>
    <t>Informatique</t>
  </si>
  <si>
    <t>Smith, Denise</t>
  </si>
  <si>
    <t>Sweman, Anav</t>
  </si>
  <si>
    <t>Mares, Gale</t>
  </si>
  <si>
    <t>Marketing</t>
  </si>
  <si>
    <t>Vernest, Giorgio</t>
  </si>
  <si>
    <t>Rixday, Ari</t>
  </si>
  <si>
    <t>Jui, Janghao</t>
  </si>
  <si>
    <t>Gestion de projets</t>
  </si>
  <si>
    <t>Wess, Charlotte</t>
  </si>
  <si>
    <t>Zukowski, Jake</t>
  </si>
  <si>
    <t>Recherche et développement</t>
  </si>
  <si>
    <t>Reding, Jannie</t>
  </si>
  <si>
    <t>Salinen, Teemu</t>
  </si>
  <si>
    <t>Employés du siège social</t>
  </si>
  <si>
    <t>Années avec primes de service</t>
  </si>
  <si>
    <t>ID du magasin</t>
  </si>
  <si>
    <t>Lieu</t>
  </si>
  <si>
    <t>Ventes de l an dernier</t>
  </si>
  <si>
    <t>Ventes prévisionnelles</t>
  </si>
  <si>
    <t>Ventes actuelles</t>
  </si>
  <si>
    <t>New York, États-Unis</t>
  </si>
  <si>
    <t>Londres, Royaume-Uni</t>
  </si>
  <si>
    <t>Pékin, Chine</t>
  </si>
  <si>
    <t>Paris, France</t>
  </si>
  <si>
    <t>Toronto, Canada</t>
  </si>
  <si>
    <t>En ligne</t>
  </si>
  <si>
    <t>Total</t>
  </si>
  <si>
    <t>Moyenne</t>
  </si>
  <si>
    <t>Maximum</t>
  </si>
  <si>
    <t>Minimum</t>
  </si>
  <si>
    <t>p5Pon</t>
  </si>
  <si>
    <t>Chiot à explorer</t>
  </si>
  <si>
    <t>0-5Where</t>
  </si>
  <si>
    <t>Où est le bébé?</t>
  </si>
  <si>
    <t>Étoile brillante</t>
  </si>
  <si>
    <t>Roues de couleur</t>
  </si>
  <si>
    <t>Qui peut voler</t>
  </si>
  <si>
    <t>Groupe des casse-têtes et puzzles</t>
  </si>
  <si>
    <t>2 ans</t>
  </si>
  <si>
    <t>Souvenirs</t>
  </si>
  <si>
    <t>Mets-le-moi</t>
  </si>
  <si>
    <t>3 ans</t>
  </si>
  <si>
    <t>Les cartes de l’œil sont géniales</t>
  </si>
  <si>
    <t>La profession est amusante</t>
  </si>
  <si>
    <t>Éliminateur d’écoles</t>
  </si>
  <si>
    <t>Ma troupe médicale</t>
  </si>
  <si>
    <t>Marionnettes</t>
  </si>
  <si>
    <t>Fais-le et emporte-le</t>
  </si>
  <si>
    <t>Toutes voiles dehors</t>
  </si>
  <si>
    <t>Fais des grimaces</t>
  </si>
  <si>
    <t>Salut !</t>
  </si>
  <si>
    <t>Étiquettes de lignes</t>
  </si>
  <si>
    <t>Total général</t>
  </si>
  <si>
    <t>Somme de Ventes de l an dernier</t>
  </si>
  <si>
    <t>Somme de Ventes prévisionnelles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</si>
</sst>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1]_-;\-* #,##0.00\ [$€-1]_-;_-* &quot;-&quot;??\ [$€-1]_-;_-@_-"/>
    <numFmt numFmtId="165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5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1" xfId="0" applyNumberFormat="1" applyFont="1" applyBorder="1"/>
    <xf numFmtId="164" fontId="2" fillId="0" borderId="6" xfId="0" applyNumberFormat="1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4" fontId="1" fillId="0" borderId="1" xfId="0" applyNumberFormat="1" applyFont="1" applyBorder="1" applyAlignment="1">
      <alignment horizontal="right"/>
    </xf>
    <xf numFmtId="44" fontId="1" fillId="0" borderId="0" xfId="0" applyNumberFormat="1" applyFont="1" applyAlignment="1">
      <alignment horizontal="center"/>
    </xf>
    <xf numFmtId="44" fontId="1" fillId="2" borderId="0" xfId="0" applyNumberFormat="1" applyFont="1" applyFill="1" applyAlignment="1">
      <alignment horizontal="center"/>
    </xf>
    <xf numFmtId="0" fontId="5" fillId="2" borderId="0" xfId="0" applyFont="1" applyFill="1"/>
    <xf numFmtId="165" fontId="1" fillId="0" borderId="1" xfId="0" applyNumberFormat="1" applyFont="1" applyBorder="1"/>
    <xf numFmtId="0" fontId="1" fillId="0" borderId="3" xfId="0" applyFont="1" applyBorder="1"/>
    <xf numFmtId="165" fontId="1" fillId="0" borderId="3" xfId="0" applyNumberFormat="1" applyFont="1" applyBorder="1"/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44" fontId="1" fillId="0" borderId="3" xfId="0" applyNumberFormat="1" applyFont="1" applyBorder="1" applyAlignment="1">
      <alignment horizontal="right"/>
    </xf>
    <xf numFmtId="0" fontId="5" fillId="0" borderId="11" xfId="0" applyFont="1" applyBorder="1" applyAlignment="1">
      <alignment horizontal="left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4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border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[MOS Excel 2019_Projet 2.xlsx]Analyse des ventes au détail!Tableau croisé dynamique3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f-Z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'Analyse des ventes au détail'!$B$1</c:f>
              <c:strCache>
                <c:ptCount val="1"/>
                <c:pt idx="0">
                  <c:v>Somme de Ventes de l an dernier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'Analyse des ventes au détail'!$A$2:$A$8</c:f>
              <c:strCache>
                <c:ptCount val="6"/>
                <c:pt idx="0">
                  <c:v>En ligne</c:v>
                </c:pt>
                <c:pt idx="1">
                  <c:v>Londres, Royaume-Uni</c:v>
                </c:pt>
                <c:pt idx="2">
                  <c:v>New York, États-Unis</c:v>
                </c:pt>
                <c:pt idx="3">
                  <c:v>Paris, France</c:v>
                </c:pt>
                <c:pt idx="4">
                  <c:v>Pékin, Chine</c:v>
                </c:pt>
                <c:pt idx="5">
                  <c:v>Toronto, Canada</c:v>
                </c:pt>
              </c:strCache>
            </c:strRef>
          </c:cat>
          <c:val>
            <c:numRef>
              <c:f>'Analyse des ventes au détail'!$B$2:$B$8</c:f>
              <c:numCache>
                <c:formatCode>_("€"* #,##0.00_);_("€"* \(#,##0.00\);_("€"* "-"??_);_(@_)</c:formatCode>
                <c:ptCount val="6"/>
                <c:pt idx="0">
                  <c:v>21000000</c:v>
                </c:pt>
                <c:pt idx="1">
                  <c:v>12000000</c:v>
                </c:pt>
                <c:pt idx="2">
                  <c:v>15000000</c:v>
                </c:pt>
                <c:pt idx="3">
                  <c:v>16500000</c:v>
                </c:pt>
                <c:pt idx="4">
                  <c:v>9900000</c:v>
                </c:pt>
                <c:pt idx="5">
                  <c:v>14250000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D-4085-8833-008DA7795CB4}"/>
            </c:ext>
          </c:extLst>
        </c:ser>
        <c:ser>
          <c:idx val="1"/>
          <c:order val="1"/>
          <c:tx>
            <c:strRef>
              <c:f>'Analyse des ventes au détail'!$C$1</c:f>
              <c:strCache>
                <c:ptCount val="1"/>
                <c:pt idx="0">
                  <c:v>Somme de Ventes prévisionnelles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'Analyse des ventes au détail'!$A$2:$A$8</c:f>
              <c:strCache>
                <c:ptCount val="6"/>
                <c:pt idx="0">
                  <c:v>En ligne</c:v>
                </c:pt>
                <c:pt idx="1">
                  <c:v>Londres, Royaume-Uni</c:v>
                </c:pt>
                <c:pt idx="2">
                  <c:v>New York, États-Unis</c:v>
                </c:pt>
                <c:pt idx="3">
                  <c:v>Paris, France</c:v>
                </c:pt>
                <c:pt idx="4">
                  <c:v>Pékin, Chine</c:v>
                </c:pt>
                <c:pt idx="5">
                  <c:v>Toronto, Canada</c:v>
                </c:pt>
              </c:strCache>
            </c:strRef>
          </c:cat>
          <c:val>
            <c:numRef>
              <c:f>'Analyse des ventes au détail'!$C$2:$C$8</c:f>
              <c:numCache>
                <c:formatCode>_("€"* #,##0.00_);_("€"* \(#,##0.00\);_("€"* "-"??_);_(@_)</c:formatCode>
                <c:ptCount val="6"/>
                <c:pt idx="0">
                  <c:v>27300000</c:v>
                </c:pt>
                <c:pt idx="1">
                  <c:v>12600000</c:v>
                </c:pt>
                <c:pt idx="2">
                  <c:v>15750000</c:v>
                </c:pt>
                <c:pt idx="3">
                  <c:v>17325000</c:v>
                </c:pt>
                <c:pt idx="4">
                  <c:v>10395000</c:v>
                </c:pt>
                <c:pt idx="5">
                  <c:v>14962500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D-4085-8833-008DA7795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511471"/>
        <c:axId val="67511887"/>
        <c:axId val="0"/>
      </c:bar3DChart>
      <c:catAx>
        <c:axId val="6751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511887"/>
        <c:crosses val="autoZero"/>
        <c:auto val="1"/>
        <c:lblAlgn val="ctr"/>
        <c:lblOffset val="100"/>
        <c:noMultiLvlLbl val="0"/>
      </c:catAx>
      <c:valAx>
        <c:axId val="6751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51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0D5F54-24F9-4AA9-8E4D-526B7DE1A342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150BE2-1176-EFB9-6F11-41FFFF3E5B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5.771097800927" createdVersion="8" refreshedVersion="8" minRefreshableVersion="3" recordCount="6" xr:uid="{B3A6F6CC-1675-4B3F-91BC-A90D8F8F5929}">
  <cacheSource type="worksheet">
    <worksheetSource ref="A3:E9" sheet="Ventes au détail"/>
  </cacheSource>
  <cacheFields count="5">
    <cacheField name="ID du magasin" numFmtId="0">
      <sharedItems containsSemiMixedTypes="0" containsString="0" containsNumber="1" containsInteger="1" minValue="10" maxValue="90"/>
    </cacheField>
    <cacheField name="Lieu" numFmtId="0">
      <sharedItems count="6">
        <s v="New York, États-Unis"/>
        <s v="Londres, Royaume-Uni"/>
        <s v="Pékin, Chine"/>
        <s v="Paris, France"/>
        <s v="Toronto, Canada"/>
        <s v="En ligne"/>
      </sharedItems>
    </cacheField>
    <cacheField name="Ventes de l an dernier" numFmtId="44">
      <sharedItems containsSemiMixedTypes="0" containsString="0" containsNumber="1" containsInteger="1" minValue="9900000" maxValue="21000000"/>
    </cacheField>
    <cacheField name="Ventes prévisionnelles" numFmtId="44">
      <sharedItems containsSemiMixedTypes="0" containsString="0" containsNumber="1" containsInteger="1" minValue="10395000" maxValue="27300000"/>
    </cacheField>
    <cacheField name="Ventes actuelles" numFmtId="44">
      <sharedItems containsSemiMixedTypes="0" containsString="0" containsNumber="1" containsInteger="1" minValue="7796250" maxValue="204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0"/>
    <x v="0"/>
    <n v="15000000"/>
    <n v="15750000"/>
    <n v="11812500"/>
  </r>
  <r>
    <n v="20"/>
    <x v="1"/>
    <n v="12000000"/>
    <n v="12600000"/>
    <n v="9450000"/>
  </r>
  <r>
    <n v="30"/>
    <x v="2"/>
    <n v="9900000"/>
    <n v="10395000"/>
    <n v="7796250"/>
  </r>
  <r>
    <n v="40"/>
    <x v="3"/>
    <n v="16500000"/>
    <n v="17325000"/>
    <n v="12993750"/>
  </r>
  <r>
    <n v="50"/>
    <x v="4"/>
    <n v="14250000"/>
    <n v="14962500"/>
    <n v="11221875"/>
  </r>
  <r>
    <n v="90"/>
    <x v="5"/>
    <n v="21000000"/>
    <n v="27300000"/>
    <n v="2047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62608-C9DA-492B-B645-C64EE8953A1B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1:C8" firstHeaderRow="0" firstDataRow="1" firstDataCol="1"/>
  <pivotFields count="5">
    <pivotField showAll="0"/>
    <pivotField axis="axisRow" showAll="0">
      <items count="7">
        <item x="5"/>
        <item x="1"/>
        <item x="0"/>
        <item x="3"/>
        <item x="2"/>
        <item x="4"/>
        <item t="default"/>
      </items>
    </pivotField>
    <pivotField dataField="1" numFmtId="44" showAll="0"/>
    <pivotField dataField="1" numFmtId="44" showAll="0"/>
    <pivotField numFmtId="4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Ventes de l an dernier" fld="2" baseField="0" baseItem="0" numFmtId="44"/>
    <dataField name="Somme de Ventes prévisionnelles" fld="3" baseField="0" baseItem="0" numFmtId="4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9E124-5161-4E8D-B68C-0B62620004D6}" name="Tableau1" displayName="Tableau1" ref="A3:E20" totalsRowShown="0" headerRowDxfId="9" dataDxfId="7" headerRowBorderDxfId="8" tableBorderDxfId="6" totalsRowBorderDxfId="5">
  <autoFilter ref="A3:E20" xr:uid="{3549E124-5161-4E8D-B68C-0B62620004D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D360218-C120-4D44-8A2F-27BEF1542303}" name="Code du produit" dataDxfId="4"/>
    <tableColumn id="2" xr3:uid="{6F57F00D-24CF-4339-9C59-38786D789798}" name="Nom du produit" dataDxfId="3"/>
    <tableColumn id="3" xr3:uid="{623E9FFF-174B-4DF7-B43D-8FB234567133}" name="Tranche d âge" dataDxfId="2"/>
    <tableColumn id="4" xr3:uid="{0C1F3560-69DD-49AA-A60A-843C5BA988DB}" name="Prix de gros" dataDxfId="1"/>
    <tableColumn id="5" xr3:uid="{0808FC84-C9E2-4F77-8DD5-A3FDA2014659}" name="Prix de détai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I18" sqref="I18"/>
    </sheetView>
  </sheetViews>
  <sheetFormatPr baseColWidth="10" defaultColWidth="9.140625" defaultRowHeight="15" x14ac:dyDescent="0.25"/>
  <cols>
    <col min="1" max="1" width="21.85546875" customWidth="1"/>
    <col min="2" max="2" width="28.42578125" bestFit="1" customWidth="1"/>
    <col min="3" max="3" width="17.42578125" customWidth="1"/>
    <col min="4" max="4" width="17.7109375" customWidth="1"/>
    <col min="5" max="5" width="15.5703125" customWidth="1"/>
  </cols>
  <sheetData>
    <row r="1" spans="1:5" ht="22.5" x14ac:dyDescent="0.3">
      <c r="A1" s="42" t="s">
        <v>43</v>
      </c>
      <c r="B1" s="42"/>
      <c r="C1" s="42"/>
      <c r="D1" s="42"/>
      <c r="E1" s="42"/>
    </row>
    <row r="2" spans="1:5" ht="17.25" x14ac:dyDescent="0.3">
      <c r="A2" s="43" t="s">
        <v>44</v>
      </c>
      <c r="B2" s="43"/>
      <c r="C2" s="43"/>
      <c r="D2" s="43"/>
      <c r="E2" s="43"/>
    </row>
    <row r="3" spans="1:5" ht="35.25" customHeight="1" thickBot="1" x14ac:dyDescent="0.3">
      <c r="A3" s="34" t="s">
        <v>45</v>
      </c>
      <c r="B3" s="35" t="s">
        <v>1</v>
      </c>
      <c r="C3" s="36" t="s">
        <v>2</v>
      </c>
      <c r="D3" s="36" t="s">
        <v>3</v>
      </c>
      <c r="E3" s="37" t="s">
        <v>4</v>
      </c>
    </row>
    <row r="4" spans="1:5" ht="18" thickTop="1" x14ac:dyDescent="0.3">
      <c r="A4" s="30" t="s">
        <v>5</v>
      </c>
      <c r="B4" s="31" t="s">
        <v>6</v>
      </c>
      <c r="C4" s="31" t="s">
        <v>7</v>
      </c>
      <c r="D4" s="32">
        <v>5</v>
      </c>
      <c r="E4" s="33">
        <v>10</v>
      </c>
    </row>
    <row r="5" spans="1:5" ht="17.25" x14ac:dyDescent="0.3">
      <c r="A5" s="3" t="s">
        <v>8</v>
      </c>
      <c r="B5" s="4" t="s">
        <v>9</v>
      </c>
      <c r="C5" s="4" t="s">
        <v>10</v>
      </c>
      <c r="D5" s="7">
        <v>17.5</v>
      </c>
      <c r="E5" s="8">
        <v>35</v>
      </c>
    </row>
    <row r="6" spans="1:5" ht="17.25" x14ac:dyDescent="0.3">
      <c r="A6" s="3" t="s">
        <v>11</v>
      </c>
      <c r="B6" s="4" t="s">
        <v>12</v>
      </c>
      <c r="C6" s="4" t="s">
        <v>7</v>
      </c>
      <c r="D6" s="7">
        <v>6</v>
      </c>
      <c r="E6" s="8">
        <v>12</v>
      </c>
    </row>
    <row r="7" spans="1:5" ht="17.25" x14ac:dyDescent="0.3">
      <c r="A7" s="3" t="s">
        <v>13</v>
      </c>
      <c r="B7" s="4" t="s">
        <v>14</v>
      </c>
      <c r="C7" s="4" t="s">
        <v>7</v>
      </c>
      <c r="D7" s="7">
        <v>5</v>
      </c>
      <c r="E7" s="8">
        <v>10</v>
      </c>
    </row>
    <row r="8" spans="1:5" ht="17.25" x14ac:dyDescent="0.3">
      <c r="A8" s="3" t="s">
        <v>15</v>
      </c>
      <c r="B8" s="4" t="s">
        <v>16</v>
      </c>
      <c r="C8" s="4" t="s">
        <v>7</v>
      </c>
      <c r="D8" s="7">
        <v>6</v>
      </c>
      <c r="E8" s="8">
        <v>12</v>
      </c>
    </row>
    <row r="9" spans="1:5" ht="17.25" x14ac:dyDescent="0.3">
      <c r="A9" s="3" t="s">
        <v>17</v>
      </c>
      <c r="B9" s="4" t="s">
        <v>18</v>
      </c>
      <c r="C9" s="4" t="s">
        <v>19</v>
      </c>
      <c r="D9" s="7">
        <v>4</v>
      </c>
      <c r="E9" s="8">
        <v>8</v>
      </c>
    </row>
    <row r="10" spans="1:5" ht="17.25" x14ac:dyDescent="0.3">
      <c r="A10" s="3" t="s">
        <v>20</v>
      </c>
      <c r="B10" s="4" t="s">
        <v>21</v>
      </c>
      <c r="C10" s="4" t="s">
        <v>19</v>
      </c>
      <c r="D10" s="7">
        <v>5</v>
      </c>
      <c r="E10" s="8">
        <v>10</v>
      </c>
    </row>
    <row r="11" spans="1:5" ht="17.25" x14ac:dyDescent="0.3">
      <c r="A11" s="3" t="s">
        <v>22</v>
      </c>
      <c r="B11" s="4" t="s">
        <v>23</v>
      </c>
      <c r="C11" s="4" t="s">
        <v>24</v>
      </c>
      <c r="D11" s="7">
        <v>17.5</v>
      </c>
      <c r="E11" s="8">
        <v>35</v>
      </c>
    </row>
    <row r="12" spans="1:5" ht="17.25" x14ac:dyDescent="0.3">
      <c r="A12" s="3" t="s">
        <v>25</v>
      </c>
      <c r="B12" s="4" t="s">
        <v>26</v>
      </c>
      <c r="C12" s="4" t="s">
        <v>19</v>
      </c>
      <c r="D12" s="7">
        <v>8</v>
      </c>
      <c r="E12" s="8">
        <v>16</v>
      </c>
    </row>
    <row r="13" spans="1:5" ht="17.25" x14ac:dyDescent="0.3">
      <c r="A13" s="3" t="s">
        <v>27</v>
      </c>
      <c r="B13" s="4" t="s">
        <v>28</v>
      </c>
      <c r="C13" s="4" t="s">
        <v>19</v>
      </c>
      <c r="D13" s="7">
        <v>7</v>
      </c>
      <c r="E13" s="8">
        <v>14</v>
      </c>
    </row>
    <row r="14" spans="1:5" ht="17.25" x14ac:dyDescent="0.3">
      <c r="A14" s="3" t="s">
        <v>29</v>
      </c>
      <c r="B14" s="4" t="s">
        <v>30</v>
      </c>
      <c r="C14" s="4" t="s">
        <v>19</v>
      </c>
      <c r="D14" s="7">
        <v>7.5</v>
      </c>
      <c r="E14" s="8">
        <v>15</v>
      </c>
    </row>
    <row r="15" spans="1:5" ht="17.25" x14ac:dyDescent="0.3">
      <c r="A15" s="3" t="s">
        <v>31</v>
      </c>
      <c r="B15" s="4" t="s">
        <v>32</v>
      </c>
      <c r="C15" s="4" t="s">
        <v>19</v>
      </c>
      <c r="D15" s="7">
        <v>6</v>
      </c>
      <c r="E15" s="8">
        <v>12</v>
      </c>
    </row>
    <row r="16" spans="1:5" ht="17.25" x14ac:dyDescent="0.3">
      <c r="A16" s="3" t="s">
        <v>33</v>
      </c>
      <c r="B16" s="4" t="s">
        <v>34</v>
      </c>
      <c r="C16" s="4" t="s">
        <v>19</v>
      </c>
      <c r="D16" s="7">
        <v>5</v>
      </c>
      <c r="E16" s="8">
        <v>10</v>
      </c>
    </row>
    <row r="17" spans="1:5" ht="17.25" x14ac:dyDescent="0.3">
      <c r="A17" s="3" t="s">
        <v>35</v>
      </c>
      <c r="B17" s="4" t="s">
        <v>14</v>
      </c>
      <c r="C17" s="4" t="s">
        <v>7</v>
      </c>
      <c r="D17" s="7">
        <v>5</v>
      </c>
      <c r="E17" s="8">
        <v>10</v>
      </c>
    </row>
    <row r="18" spans="1:5" ht="17.25" x14ac:dyDescent="0.3">
      <c r="A18" s="3" t="s">
        <v>36</v>
      </c>
      <c r="B18" s="4" t="s">
        <v>37</v>
      </c>
      <c r="C18" s="4" t="s">
        <v>19</v>
      </c>
      <c r="D18" s="7">
        <v>4</v>
      </c>
      <c r="E18" s="8">
        <v>8</v>
      </c>
    </row>
    <row r="19" spans="1:5" ht="17.25" x14ac:dyDescent="0.3">
      <c r="A19" s="3" t="s">
        <v>38</v>
      </c>
      <c r="B19" s="4" t="s">
        <v>39</v>
      </c>
      <c r="C19" s="4" t="s">
        <v>19</v>
      </c>
      <c r="D19" s="7">
        <v>5</v>
      </c>
      <c r="E19" s="8">
        <v>10</v>
      </c>
    </row>
    <row r="20" spans="1:5" ht="17.25" x14ac:dyDescent="0.3">
      <c r="A20" s="5" t="s">
        <v>40</v>
      </c>
      <c r="B20" s="6" t="s">
        <v>41</v>
      </c>
      <c r="C20" s="6" t="s">
        <v>42</v>
      </c>
      <c r="D20" s="9">
        <v>5</v>
      </c>
      <c r="E20" s="10">
        <v>10</v>
      </c>
    </row>
  </sheetData>
  <mergeCells count="2">
    <mergeCell ref="A1:E1"/>
    <mergeCell ref="A2:E2"/>
  </mergeCells>
  <pageMargins left="0.75" right="0.75" top="1" bottom="1" header="0.5" footer="0.5"/>
  <pageSetup paperSize="9"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790A-8826-4290-AE28-0255CC3EC7B7}">
  <dimension ref="A1:E20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17.42578125" customWidth="1"/>
    <col min="2" max="2" width="37" bestFit="1" customWidth="1"/>
    <col min="3" max="3" width="17.85546875" customWidth="1"/>
    <col min="4" max="4" width="14.28515625" customWidth="1"/>
    <col min="5" max="5" width="15.28515625" customWidth="1"/>
  </cols>
  <sheetData>
    <row r="1" spans="1:5" ht="22.5" x14ac:dyDescent="0.3">
      <c r="A1" s="42" t="s">
        <v>43</v>
      </c>
      <c r="B1" s="42"/>
      <c r="C1" s="42"/>
      <c r="D1" s="42"/>
      <c r="E1" s="42"/>
    </row>
    <row r="2" spans="1:5" ht="17.25" x14ac:dyDescent="0.3">
      <c r="A2" s="43" t="s">
        <v>44</v>
      </c>
      <c r="B2" s="43"/>
      <c r="C2" s="43"/>
      <c r="D2" s="43"/>
      <c r="E2" s="43"/>
    </row>
    <row r="3" spans="1:5" ht="15.75" thickBot="1" x14ac:dyDescent="0.3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</row>
    <row r="4" spans="1:5" ht="17.25" thickTop="1" x14ac:dyDescent="0.3">
      <c r="A4" s="20" t="s">
        <v>93</v>
      </c>
      <c r="B4" s="20" t="s">
        <v>94</v>
      </c>
      <c r="C4" s="20" t="s">
        <v>7</v>
      </c>
      <c r="D4" s="21">
        <v>7</v>
      </c>
      <c r="E4" s="21">
        <f>D4*2</f>
        <v>14</v>
      </c>
    </row>
    <row r="5" spans="1:5" ht="16.5" x14ac:dyDescent="0.3">
      <c r="A5" s="13" t="s">
        <v>95</v>
      </c>
      <c r="B5" s="13" t="s">
        <v>96</v>
      </c>
      <c r="C5" s="13" t="s">
        <v>7</v>
      </c>
      <c r="D5" s="19">
        <v>10</v>
      </c>
      <c r="E5" s="19">
        <f t="shared" ref="E5:E20" si="0">D5*2</f>
        <v>20</v>
      </c>
    </row>
    <row r="6" spans="1:5" ht="16.5" x14ac:dyDescent="0.3">
      <c r="A6" s="13"/>
      <c r="B6" s="13" t="s">
        <v>97</v>
      </c>
      <c r="C6" s="13" t="s">
        <v>7</v>
      </c>
      <c r="D6" s="19">
        <v>10</v>
      </c>
      <c r="E6" s="19">
        <f t="shared" si="0"/>
        <v>20</v>
      </c>
    </row>
    <row r="7" spans="1:5" ht="16.5" x14ac:dyDescent="0.3">
      <c r="A7" s="13"/>
      <c r="B7" s="13" t="s">
        <v>98</v>
      </c>
      <c r="C7" s="13" t="s">
        <v>42</v>
      </c>
      <c r="D7" s="19">
        <v>10</v>
      </c>
      <c r="E7" s="19">
        <f t="shared" si="0"/>
        <v>20</v>
      </c>
    </row>
    <row r="8" spans="1:5" ht="16.5" x14ac:dyDescent="0.3">
      <c r="A8" s="13"/>
      <c r="B8" s="13" t="s">
        <v>99</v>
      </c>
      <c r="C8" s="13" t="s">
        <v>42</v>
      </c>
      <c r="D8" s="19">
        <v>10</v>
      </c>
      <c r="E8" s="19">
        <f t="shared" si="0"/>
        <v>20</v>
      </c>
    </row>
    <row r="9" spans="1:5" ht="16.5" x14ac:dyDescent="0.3">
      <c r="A9" s="13"/>
      <c r="B9" s="13" t="s">
        <v>100</v>
      </c>
      <c r="C9" s="13" t="s">
        <v>101</v>
      </c>
      <c r="D9" s="19">
        <v>10</v>
      </c>
      <c r="E9" s="19">
        <f t="shared" si="0"/>
        <v>20</v>
      </c>
    </row>
    <row r="10" spans="1:5" ht="16.5" x14ac:dyDescent="0.3">
      <c r="A10" s="13"/>
      <c r="B10" s="13" t="s">
        <v>102</v>
      </c>
      <c r="C10" s="13" t="s">
        <v>101</v>
      </c>
      <c r="D10" s="19">
        <v>10</v>
      </c>
      <c r="E10" s="19">
        <f t="shared" si="0"/>
        <v>20</v>
      </c>
    </row>
    <row r="11" spans="1:5" ht="16.5" x14ac:dyDescent="0.3">
      <c r="A11" s="13"/>
      <c r="B11" s="13" t="s">
        <v>103</v>
      </c>
      <c r="C11" s="13" t="s">
        <v>104</v>
      </c>
      <c r="D11" s="19">
        <v>10</v>
      </c>
      <c r="E11" s="19">
        <f t="shared" si="0"/>
        <v>20</v>
      </c>
    </row>
    <row r="12" spans="1:5" ht="16.5" x14ac:dyDescent="0.3">
      <c r="A12" s="13"/>
      <c r="B12" s="13" t="s">
        <v>105</v>
      </c>
      <c r="C12" s="13" t="s">
        <v>104</v>
      </c>
      <c r="D12" s="19">
        <v>12.5</v>
      </c>
      <c r="E12" s="19">
        <f t="shared" si="0"/>
        <v>25</v>
      </c>
    </row>
    <row r="13" spans="1:5" ht="16.5" x14ac:dyDescent="0.3">
      <c r="A13" s="13"/>
      <c r="B13" s="13" t="s">
        <v>106</v>
      </c>
      <c r="C13" s="13" t="s">
        <v>104</v>
      </c>
      <c r="D13" s="19">
        <v>12.5</v>
      </c>
      <c r="E13" s="19">
        <f t="shared" si="0"/>
        <v>25</v>
      </c>
    </row>
    <row r="14" spans="1:5" ht="16.5" x14ac:dyDescent="0.3">
      <c r="A14" s="13"/>
      <c r="B14" s="13" t="s">
        <v>107</v>
      </c>
      <c r="C14" s="13" t="s">
        <v>104</v>
      </c>
      <c r="D14" s="19">
        <v>11</v>
      </c>
      <c r="E14" s="19">
        <f t="shared" si="0"/>
        <v>22</v>
      </c>
    </row>
    <row r="15" spans="1:5" ht="16.5" x14ac:dyDescent="0.3">
      <c r="A15" s="13"/>
      <c r="B15" s="13" t="s">
        <v>108</v>
      </c>
      <c r="C15" s="13" t="s">
        <v>104</v>
      </c>
      <c r="D15" s="19">
        <v>12.5</v>
      </c>
      <c r="E15" s="19">
        <f t="shared" si="0"/>
        <v>25</v>
      </c>
    </row>
    <row r="16" spans="1:5" ht="16.5" x14ac:dyDescent="0.3">
      <c r="A16" s="13"/>
      <c r="B16" s="13" t="s">
        <v>109</v>
      </c>
      <c r="C16" s="13" t="s">
        <v>104</v>
      </c>
      <c r="D16" s="19">
        <v>15</v>
      </c>
      <c r="E16" s="19">
        <f t="shared" si="0"/>
        <v>30</v>
      </c>
    </row>
    <row r="17" spans="1:5" ht="16.5" x14ac:dyDescent="0.3">
      <c r="A17" s="13"/>
      <c r="B17" s="13" t="s">
        <v>110</v>
      </c>
      <c r="C17" s="13" t="s">
        <v>10</v>
      </c>
      <c r="D17" s="19">
        <v>20</v>
      </c>
      <c r="E17" s="19">
        <f t="shared" si="0"/>
        <v>40</v>
      </c>
    </row>
    <row r="18" spans="1:5" ht="16.5" x14ac:dyDescent="0.3">
      <c r="A18" s="13"/>
      <c r="B18" s="13" t="s">
        <v>111</v>
      </c>
      <c r="C18" s="13" t="s">
        <v>10</v>
      </c>
      <c r="D18" s="19">
        <v>17.5</v>
      </c>
      <c r="E18" s="19">
        <f t="shared" si="0"/>
        <v>35</v>
      </c>
    </row>
    <row r="19" spans="1:5" ht="16.5" x14ac:dyDescent="0.3">
      <c r="A19" s="13"/>
      <c r="B19" s="13" t="s">
        <v>112</v>
      </c>
      <c r="C19" s="13" t="s">
        <v>10</v>
      </c>
      <c r="D19" s="19">
        <v>16</v>
      </c>
      <c r="E19" s="19">
        <f t="shared" si="0"/>
        <v>32</v>
      </c>
    </row>
    <row r="20" spans="1:5" ht="16.5" x14ac:dyDescent="0.3">
      <c r="A20" s="13"/>
      <c r="B20" s="13" t="s">
        <v>113</v>
      </c>
      <c r="C20" s="13" t="s">
        <v>10</v>
      </c>
      <c r="D20" s="19">
        <v>15</v>
      </c>
      <c r="E20" s="19">
        <f t="shared" si="0"/>
        <v>30</v>
      </c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91C1-882F-41F7-B35C-1580602468C9}">
  <dimension ref="A1:E1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15.85546875" bestFit="1" customWidth="1"/>
    <col min="2" max="2" width="24.42578125" bestFit="1" customWidth="1"/>
    <col min="3" max="3" width="24.28515625" bestFit="1" customWidth="1"/>
    <col min="4" max="4" width="24.42578125" bestFit="1" customWidth="1"/>
    <col min="5" max="5" width="18.42578125" bestFit="1" customWidth="1"/>
  </cols>
  <sheetData>
    <row r="1" spans="1:5" ht="22.5" x14ac:dyDescent="0.3">
      <c r="A1" s="42" t="s">
        <v>43</v>
      </c>
      <c r="B1" s="42"/>
      <c r="C1" s="42"/>
      <c r="D1" s="42"/>
      <c r="E1" s="42"/>
    </row>
    <row r="2" spans="1:5" ht="17.25" x14ac:dyDescent="0.3">
      <c r="A2" s="43" t="s">
        <v>44</v>
      </c>
      <c r="B2" s="43"/>
      <c r="C2" s="43"/>
      <c r="D2" s="43"/>
      <c r="E2" s="43"/>
    </row>
    <row r="3" spans="1:5" ht="15.75" thickBot="1" x14ac:dyDescent="0.3">
      <c r="A3" s="22" t="s">
        <v>78</v>
      </c>
      <c r="B3" s="22" t="s">
        <v>79</v>
      </c>
      <c r="C3" s="23" t="s">
        <v>80</v>
      </c>
      <c r="D3" s="23" t="s">
        <v>81</v>
      </c>
      <c r="E3" s="23" t="s">
        <v>82</v>
      </c>
    </row>
    <row r="4" spans="1:5" ht="17.25" thickTop="1" x14ac:dyDescent="0.3">
      <c r="A4" s="11">
        <v>10</v>
      </c>
      <c r="B4" s="2" t="s">
        <v>83</v>
      </c>
      <c r="C4" s="16">
        <v>15000000</v>
      </c>
      <c r="D4" s="16">
        <f>C4*1.05</f>
        <v>15750000</v>
      </c>
      <c r="E4" s="16">
        <v>11812500</v>
      </c>
    </row>
    <row r="5" spans="1:5" ht="16.5" x14ac:dyDescent="0.3">
      <c r="A5" s="11">
        <v>20</v>
      </c>
      <c r="B5" s="2" t="s">
        <v>84</v>
      </c>
      <c r="C5" s="16">
        <v>12000000</v>
      </c>
      <c r="D5" s="16">
        <f>C5*1.05</f>
        <v>12600000</v>
      </c>
      <c r="E5" s="16">
        <v>9450000</v>
      </c>
    </row>
    <row r="6" spans="1:5" ht="16.5" x14ac:dyDescent="0.3">
      <c r="A6" s="11">
        <v>30</v>
      </c>
      <c r="B6" s="2" t="s">
        <v>85</v>
      </c>
      <c r="C6" s="16">
        <v>9900000</v>
      </c>
      <c r="D6" s="16">
        <f t="shared" ref="D6:D8" si="0">C6*1.05</f>
        <v>10395000</v>
      </c>
      <c r="E6" s="16">
        <v>7796250</v>
      </c>
    </row>
    <row r="7" spans="1:5" ht="16.5" x14ac:dyDescent="0.3">
      <c r="A7" s="11">
        <v>40</v>
      </c>
      <c r="B7" s="2" t="s">
        <v>86</v>
      </c>
      <c r="C7" s="16">
        <v>16500000</v>
      </c>
      <c r="D7" s="16">
        <f t="shared" si="0"/>
        <v>17325000</v>
      </c>
      <c r="E7" s="16">
        <v>12993750</v>
      </c>
    </row>
    <row r="8" spans="1:5" ht="16.5" x14ac:dyDescent="0.3">
      <c r="A8" s="11">
        <v>50</v>
      </c>
      <c r="B8" s="2" t="s">
        <v>87</v>
      </c>
      <c r="C8" s="16">
        <v>14250000</v>
      </c>
      <c r="D8" s="16">
        <f t="shared" si="0"/>
        <v>14962500</v>
      </c>
      <c r="E8" s="16">
        <v>11221875</v>
      </c>
    </row>
    <row r="9" spans="1:5" ht="16.5" x14ac:dyDescent="0.3">
      <c r="A9" s="11">
        <v>90</v>
      </c>
      <c r="B9" s="2" t="s">
        <v>88</v>
      </c>
      <c r="C9" s="16">
        <v>21000000</v>
      </c>
      <c r="D9" s="16">
        <f>C9*1.3</f>
        <v>27300000</v>
      </c>
      <c r="E9" s="16">
        <v>20475000</v>
      </c>
    </row>
    <row r="10" spans="1:5" ht="16.5" x14ac:dyDescent="0.3">
      <c r="A10" s="18" t="s">
        <v>89</v>
      </c>
      <c r="B10" s="1"/>
      <c r="C10" s="17">
        <f>SUM(C4:C9)</f>
        <v>88650000</v>
      </c>
      <c r="D10" s="17">
        <f t="shared" ref="D10:E10" si="1">SUM(D4:D9)</f>
        <v>98332500</v>
      </c>
      <c r="E10" s="17">
        <f t="shared" si="1"/>
        <v>73749375</v>
      </c>
    </row>
    <row r="11" spans="1:5" ht="16.5" x14ac:dyDescent="0.3">
      <c r="A11" s="18" t="s">
        <v>90</v>
      </c>
      <c r="B11" s="1"/>
      <c r="C11" s="17">
        <f>AVERAGE(C4:C9)</f>
        <v>14775000</v>
      </c>
      <c r="D11" s="17">
        <f t="shared" ref="D11:E11" si="2">AVERAGE(D4:D9)</f>
        <v>16388750</v>
      </c>
      <c r="E11" s="17">
        <f t="shared" si="2"/>
        <v>12291562.5</v>
      </c>
    </row>
    <row r="12" spans="1:5" ht="16.5" x14ac:dyDescent="0.3">
      <c r="A12" s="18" t="s">
        <v>91</v>
      </c>
      <c r="B12" s="1"/>
      <c r="C12" s="17">
        <f>MAX(C4:C9)</f>
        <v>21000000</v>
      </c>
      <c r="D12" s="17">
        <f t="shared" ref="D12:E12" si="3">MAX(D4:D9)</f>
        <v>27300000</v>
      </c>
      <c r="E12" s="17">
        <f t="shared" si="3"/>
        <v>20475000</v>
      </c>
    </row>
    <row r="13" spans="1:5" ht="16.5" x14ac:dyDescent="0.3">
      <c r="A13" s="18" t="s">
        <v>92</v>
      </c>
      <c r="B13" s="1"/>
      <c r="C13" s="17">
        <f>MIN(C4:C9)</f>
        <v>9900000</v>
      </c>
      <c r="D13" s="17">
        <f t="shared" ref="D13:E13" si="4">MIN(D4:D9)</f>
        <v>10395000</v>
      </c>
      <c r="E13" s="17">
        <f t="shared" si="4"/>
        <v>7796250</v>
      </c>
    </row>
  </sheetData>
  <mergeCells count="2">
    <mergeCell ref="A1:E1"/>
    <mergeCell ref="A2:E2"/>
  </mergeCells>
  <pageMargins left="0.75" right="0.75" top="1" bottom="1" header="0.5" footer="0.5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7B65-96D3-4DD7-B492-9FA1D22D630A}">
  <dimension ref="A1:C8"/>
  <sheetViews>
    <sheetView workbookViewId="0">
      <selection activeCell="B30" sqref="B30"/>
    </sheetView>
  </sheetViews>
  <sheetFormatPr baseColWidth="10" defaultRowHeight="15" x14ac:dyDescent="0.25"/>
  <cols>
    <col min="1" max="1" width="21.28515625" bestFit="1" customWidth="1"/>
    <col min="2" max="2" width="30.85546875" bestFit="1" customWidth="1"/>
    <col min="3" max="3" width="31.85546875" bestFit="1" customWidth="1"/>
  </cols>
  <sheetData>
    <row r="1" spans="1:3" x14ac:dyDescent="0.25">
      <c r="A1" s="39" t="s">
        <v>114</v>
      </c>
      <c r="B1" t="s">
        <v>116</v>
      </c>
      <c r="C1" t="s">
        <v>117</v>
      </c>
    </row>
    <row r="2" spans="1:3" x14ac:dyDescent="0.25">
      <c r="A2" s="40" t="s">
        <v>88</v>
      </c>
      <c r="B2" s="41">
        <v>21000000</v>
      </c>
      <c r="C2" s="41">
        <v>27300000</v>
      </c>
    </row>
    <row r="3" spans="1:3" x14ac:dyDescent="0.25">
      <c r="A3" s="40" t="s">
        <v>84</v>
      </c>
      <c r="B3" s="41">
        <v>12000000</v>
      </c>
      <c r="C3" s="41">
        <v>12600000</v>
      </c>
    </row>
    <row r="4" spans="1:3" x14ac:dyDescent="0.25">
      <c r="A4" s="40" t="s">
        <v>83</v>
      </c>
      <c r="B4" s="41">
        <v>15000000</v>
      </c>
      <c r="C4" s="41">
        <v>15750000</v>
      </c>
    </row>
    <row r="5" spans="1:3" x14ac:dyDescent="0.25">
      <c r="A5" s="40" t="s">
        <v>86</v>
      </c>
      <c r="B5" s="41">
        <v>16500000</v>
      </c>
      <c r="C5" s="41">
        <v>17325000</v>
      </c>
    </row>
    <row r="6" spans="1:3" x14ac:dyDescent="0.25">
      <c r="A6" s="40" t="s">
        <v>85</v>
      </c>
      <c r="B6" s="41">
        <v>9900000</v>
      </c>
      <c r="C6" s="41">
        <v>10395000</v>
      </c>
    </row>
    <row r="7" spans="1:3" x14ac:dyDescent="0.25">
      <c r="A7" s="40" t="s">
        <v>87</v>
      </c>
      <c r="B7" s="41">
        <v>14250000</v>
      </c>
      <c r="C7" s="41">
        <v>14962500</v>
      </c>
    </row>
    <row r="8" spans="1:3" x14ac:dyDescent="0.25">
      <c r="A8" s="40" t="s">
        <v>115</v>
      </c>
      <c r="B8" s="41">
        <v>88650000</v>
      </c>
      <c r="C8" s="41">
        <v>98332500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DE7E-BC45-4557-8041-D687A76373EA}">
  <dimension ref="A1:I19"/>
  <sheetViews>
    <sheetView workbookViewId="0">
      <selection activeCell="F25" sqref="F25"/>
    </sheetView>
  </sheetViews>
  <sheetFormatPr baseColWidth="10" defaultColWidth="9.140625" defaultRowHeight="15" x14ac:dyDescent="0.25"/>
  <cols>
    <col min="1" max="1" width="8.85546875" customWidth="1"/>
    <col min="2" max="2" width="21.85546875" bestFit="1" customWidth="1"/>
    <col min="3" max="3" width="38.85546875" customWidth="1"/>
    <col min="4" max="4" width="12.7109375" customWidth="1"/>
    <col min="5" max="5" width="14.42578125" bestFit="1" customWidth="1"/>
    <col min="6" max="6" width="16.42578125" customWidth="1"/>
    <col min="8" max="8" width="17.5703125" customWidth="1"/>
    <col min="9" max="9" width="18.85546875" customWidth="1"/>
  </cols>
  <sheetData>
    <row r="1" spans="1:9" ht="22.5" x14ac:dyDescent="0.3">
      <c r="A1" s="42" t="s">
        <v>43</v>
      </c>
      <c r="B1" s="42"/>
      <c r="C1" s="42"/>
      <c r="D1" s="42"/>
      <c r="E1" s="42"/>
      <c r="F1" s="42"/>
      <c r="H1" s="45" t="s">
        <v>77</v>
      </c>
      <c r="I1" s="46"/>
    </row>
    <row r="2" spans="1:9" ht="17.25" x14ac:dyDescent="0.3">
      <c r="A2" s="44" t="s">
        <v>76</v>
      </c>
      <c r="B2" s="44"/>
      <c r="C2" s="44"/>
      <c r="D2" s="44"/>
      <c r="E2" s="44"/>
      <c r="F2" s="44"/>
      <c r="H2" s="14">
        <v>0</v>
      </c>
      <c r="I2" s="38">
        <v>1000</v>
      </c>
    </row>
    <row r="3" spans="1:9" ht="17.25" thickBot="1" x14ac:dyDescent="0.35">
      <c r="A3" s="27" t="s">
        <v>46</v>
      </c>
      <c r="B3" s="28" t="s">
        <v>47</v>
      </c>
      <c r="C3" s="28" t="s">
        <v>48</v>
      </c>
      <c r="D3" s="29" t="s">
        <v>49</v>
      </c>
      <c r="E3" s="29" t="s">
        <v>50</v>
      </c>
      <c r="F3" s="28" t="s">
        <v>51</v>
      </c>
      <c r="H3" s="14">
        <v>5</v>
      </c>
      <c r="I3" s="38">
        <v>2000</v>
      </c>
    </row>
    <row r="4" spans="1:9" ht="17.25" thickTop="1" x14ac:dyDescent="0.3">
      <c r="A4" s="24">
        <v>12345</v>
      </c>
      <c r="B4" s="20" t="s">
        <v>52</v>
      </c>
      <c r="C4" s="20" t="s">
        <v>53</v>
      </c>
      <c r="D4" s="25">
        <v>4</v>
      </c>
      <c r="E4" s="26">
        <v>65000</v>
      </c>
      <c r="F4" s="21"/>
      <c r="H4" s="14">
        <v>10</v>
      </c>
      <c r="I4" s="38">
        <v>3000</v>
      </c>
    </row>
    <row r="5" spans="1:9" ht="16.5" x14ac:dyDescent="0.3">
      <c r="A5" s="12">
        <v>12346</v>
      </c>
      <c r="B5" s="13" t="s">
        <v>54</v>
      </c>
      <c r="C5" s="13" t="s">
        <v>53</v>
      </c>
      <c r="D5" s="14">
        <v>5</v>
      </c>
      <c r="E5" s="15">
        <v>67500</v>
      </c>
      <c r="F5" s="19"/>
      <c r="H5" s="14">
        <v>15</v>
      </c>
      <c r="I5" s="38">
        <v>4000</v>
      </c>
    </row>
    <row r="6" spans="1:9" ht="16.5" x14ac:dyDescent="0.3">
      <c r="A6" s="12">
        <v>12347</v>
      </c>
      <c r="B6" s="13" t="s">
        <v>55</v>
      </c>
      <c r="C6" s="13" t="s">
        <v>56</v>
      </c>
      <c r="D6" s="14">
        <v>25</v>
      </c>
      <c r="E6" s="15">
        <v>50000</v>
      </c>
      <c r="F6" s="19"/>
      <c r="H6" s="14">
        <v>20</v>
      </c>
      <c r="I6" s="38">
        <v>5000</v>
      </c>
    </row>
    <row r="7" spans="1:9" ht="16.5" x14ac:dyDescent="0.3">
      <c r="A7" s="12">
        <v>12348</v>
      </c>
      <c r="B7" s="13" t="s">
        <v>57</v>
      </c>
      <c r="C7" s="13" t="s">
        <v>58</v>
      </c>
      <c r="D7" s="14">
        <v>20</v>
      </c>
      <c r="E7" s="15">
        <v>350000</v>
      </c>
      <c r="F7" s="19"/>
      <c r="H7" s="14">
        <v>25</v>
      </c>
      <c r="I7" s="38">
        <v>7500</v>
      </c>
    </row>
    <row r="8" spans="1:9" ht="16.5" x14ac:dyDescent="0.3">
      <c r="A8" s="12">
        <v>12349</v>
      </c>
      <c r="B8" s="13" t="s">
        <v>59</v>
      </c>
      <c r="C8" s="13" t="s">
        <v>60</v>
      </c>
      <c r="D8" s="14">
        <v>15</v>
      </c>
      <c r="E8" s="15">
        <v>300000</v>
      </c>
      <c r="F8" s="19"/>
    </row>
    <row r="9" spans="1:9" ht="16.5" x14ac:dyDescent="0.3">
      <c r="A9" s="12">
        <v>12350</v>
      </c>
      <c r="B9" s="13" t="s">
        <v>61</v>
      </c>
      <c r="C9" s="13" t="s">
        <v>62</v>
      </c>
      <c r="D9" s="14">
        <v>15</v>
      </c>
      <c r="E9" s="15">
        <v>105000</v>
      </c>
      <c r="F9" s="19"/>
    </row>
    <row r="10" spans="1:9" ht="16.5" x14ac:dyDescent="0.3">
      <c r="A10" s="12">
        <v>12351</v>
      </c>
      <c r="B10" s="13" t="s">
        <v>63</v>
      </c>
      <c r="C10" s="13" t="s">
        <v>62</v>
      </c>
      <c r="D10" s="14">
        <v>5</v>
      </c>
      <c r="E10" s="15">
        <v>80000</v>
      </c>
      <c r="F10" s="19"/>
    </row>
    <row r="11" spans="1:9" ht="16.5" x14ac:dyDescent="0.3">
      <c r="A11" s="12">
        <v>12352</v>
      </c>
      <c r="B11" s="13" t="s">
        <v>64</v>
      </c>
      <c r="C11" s="13" t="s">
        <v>62</v>
      </c>
      <c r="D11" s="14">
        <v>2</v>
      </c>
      <c r="E11" s="15">
        <v>60000</v>
      </c>
      <c r="F11" s="19"/>
    </row>
    <row r="12" spans="1:9" ht="16.5" x14ac:dyDescent="0.3">
      <c r="A12" s="12">
        <v>12353</v>
      </c>
      <c r="B12" s="13" t="s">
        <v>65</v>
      </c>
      <c r="C12" s="13" t="s">
        <v>66</v>
      </c>
      <c r="D12" s="14">
        <v>20</v>
      </c>
      <c r="E12" s="15">
        <v>82500</v>
      </c>
      <c r="F12" s="19"/>
    </row>
    <row r="13" spans="1:9" ht="16.5" x14ac:dyDescent="0.3">
      <c r="A13" s="12">
        <v>12354</v>
      </c>
      <c r="B13" s="13" t="s">
        <v>67</v>
      </c>
      <c r="C13" s="13" t="s">
        <v>66</v>
      </c>
      <c r="D13" s="14">
        <v>18</v>
      </c>
      <c r="E13" s="15">
        <v>75000</v>
      </c>
      <c r="F13" s="19"/>
    </row>
    <row r="14" spans="1:9" ht="16.5" x14ac:dyDescent="0.3">
      <c r="A14" s="12">
        <v>12355</v>
      </c>
      <c r="B14" s="13" t="s">
        <v>68</v>
      </c>
      <c r="C14" s="13" t="s">
        <v>66</v>
      </c>
      <c r="D14" s="14">
        <v>3</v>
      </c>
      <c r="E14" s="15">
        <v>60000</v>
      </c>
      <c r="F14" s="19"/>
    </row>
    <row r="15" spans="1:9" ht="16.5" x14ac:dyDescent="0.3">
      <c r="A15" s="12">
        <v>12356</v>
      </c>
      <c r="B15" s="13" t="s">
        <v>69</v>
      </c>
      <c r="C15" s="13" t="s">
        <v>70</v>
      </c>
      <c r="D15" s="14">
        <v>20</v>
      </c>
      <c r="E15" s="15">
        <v>115500</v>
      </c>
      <c r="F15" s="19"/>
    </row>
    <row r="16" spans="1:9" ht="16.5" x14ac:dyDescent="0.3">
      <c r="A16" s="12">
        <v>12357</v>
      </c>
      <c r="B16" s="13" t="s">
        <v>71</v>
      </c>
      <c r="C16" s="13" t="s">
        <v>70</v>
      </c>
      <c r="D16" s="14">
        <v>4</v>
      </c>
      <c r="E16" s="15">
        <v>92500</v>
      </c>
      <c r="F16" s="19"/>
    </row>
    <row r="17" spans="1:6" ht="16.5" x14ac:dyDescent="0.3">
      <c r="A17" s="12">
        <v>12358</v>
      </c>
      <c r="B17" s="13" t="s">
        <v>72</v>
      </c>
      <c r="C17" s="13" t="s">
        <v>73</v>
      </c>
      <c r="D17" s="14">
        <v>20</v>
      </c>
      <c r="E17" s="15">
        <v>115000</v>
      </c>
      <c r="F17" s="19"/>
    </row>
    <row r="18" spans="1:6" ht="16.5" x14ac:dyDescent="0.3">
      <c r="A18" s="12">
        <v>12359</v>
      </c>
      <c r="B18" s="13" t="s">
        <v>74</v>
      </c>
      <c r="C18" s="13" t="s">
        <v>73</v>
      </c>
      <c r="D18" s="14">
        <v>25</v>
      </c>
      <c r="E18" s="15">
        <v>120000</v>
      </c>
      <c r="F18" s="19"/>
    </row>
    <row r="19" spans="1:6" ht="16.5" x14ac:dyDescent="0.3">
      <c r="A19" s="12">
        <v>12360</v>
      </c>
      <c r="B19" s="13" t="s">
        <v>75</v>
      </c>
      <c r="C19" s="13" t="s">
        <v>73</v>
      </c>
      <c r="D19" s="14">
        <v>3</v>
      </c>
      <c r="E19" s="15">
        <v>65500</v>
      </c>
      <c r="F19" s="19"/>
    </row>
  </sheetData>
  <mergeCells count="3">
    <mergeCell ref="A1:F1"/>
    <mergeCell ref="A2:F2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Inventaire</vt:lpstr>
      <vt:lpstr>Nouveaux produits</vt:lpstr>
      <vt:lpstr>Ventes au détail</vt:lpstr>
      <vt:lpstr>Analyse des ventes au détail</vt:lpstr>
      <vt:lpstr>Employés</vt:lpstr>
      <vt:lpstr>Graphique des ventes au détail</vt:lpstr>
      <vt:lpstr>Produit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WS003</cp:lastModifiedBy>
  <cp:revision/>
  <dcterms:created xsi:type="dcterms:W3CDTF">2026-07-22T14:03:36Z</dcterms:created>
  <dcterms:modified xsi:type="dcterms:W3CDTF">2026-08-10T14:25:33Z</dcterms:modified>
  <cp:category/>
  <cp:contentStatus/>
</cp:coreProperties>
</file>
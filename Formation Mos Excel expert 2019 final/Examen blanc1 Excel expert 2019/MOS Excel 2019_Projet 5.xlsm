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E:\Formation Mos Excel expert 2019\Examen blanc1 Excel expert 2019\"/>
    </mc:Choice>
  </mc:AlternateContent>
  <xr:revisionPtr revIDLastSave="0" documentId="13_ncr:1_{A4415B5F-686A-4360-9978-3D386DB54881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Vidéos populaires" sheetId="11" r:id="rId1"/>
    <sheet name="Ventes régionales" sheetId="3" r:id="rId2"/>
    <sheet name="Employés" sheetId="4" r:id="rId3"/>
    <sheet name="Programmes" sheetId="6" r:id="rId4"/>
    <sheet name="Analyse des programmes " sheetId="10" r:id="rId5"/>
  </sheets>
  <definedNames>
    <definedName name="informations_de_contact">Employés!$F$4:$G$11</definedName>
  </definedNames>
  <calcPr calcId="191028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6" l="1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4" i="6"/>
  <c r="C18" i="3" l="1"/>
  <c r="D18" i="3"/>
  <c r="E18" i="3"/>
  <c r="F18" i="3"/>
  <c r="G18" i="3"/>
  <c r="B18" i="3"/>
</calcChain>
</file>

<file path=xl/sharedStrings.xml><?xml version="1.0" encoding="utf-8"?>
<sst xmlns="http://schemas.openxmlformats.org/spreadsheetml/2006/main" count="81" uniqueCount="61">
  <si>
    <t>Nord</t>
  </si>
  <si>
    <t>Sud</t>
  </si>
  <si>
    <t>Est</t>
  </si>
  <si>
    <t>Ouest</t>
  </si>
  <si>
    <t>Centre</t>
  </si>
  <si>
    <t>Nord-Est</t>
  </si>
  <si>
    <t>Nord-Ouest</t>
  </si>
  <si>
    <t>Sud-Est</t>
  </si>
  <si>
    <t>Sud-Ouest</t>
  </si>
  <si>
    <t>Lagunes</t>
  </si>
  <si>
    <t>Savanes</t>
  </si>
  <si>
    <t>Montagnes</t>
  </si>
  <si>
    <t>Vallées</t>
  </si>
  <si>
    <t>Bas-Sassandra</t>
  </si>
  <si>
    <t>Région</t>
  </si>
  <si>
    <t>Total</t>
  </si>
  <si>
    <t>Vidéo Southridge</t>
  </si>
  <si>
    <t>Téléphone bureau</t>
  </si>
  <si>
    <t>(Tous)</t>
  </si>
  <si>
    <t>Total général</t>
  </si>
  <si>
    <t>Prix du package complet</t>
  </si>
  <si>
    <t>Programme</t>
  </si>
  <si>
    <t>Excel Débutant</t>
  </si>
  <si>
    <t>Excel Avancé</t>
  </si>
  <si>
    <t>Word Professionnel</t>
  </si>
  <si>
    <t>PowerPoint Professionnel</t>
  </si>
  <si>
    <t>Outlook</t>
  </si>
  <si>
    <t>Teams</t>
  </si>
  <si>
    <t>VBA Excel</t>
  </si>
  <si>
    <t>Copilot M365</t>
  </si>
  <si>
    <t>Analyse de données</t>
  </si>
  <si>
    <t>Power BI</t>
  </si>
  <si>
    <t>Cybersécurité</t>
  </si>
  <si>
    <t>Maintenance Informatique</t>
  </si>
  <si>
    <t>Community Management</t>
  </si>
  <si>
    <t>Gestion de projet</t>
  </si>
  <si>
    <t>Python Fondamental</t>
  </si>
  <si>
    <t>SQL Débutant</t>
  </si>
  <si>
    <t xml:space="preserve">Prix du package
 complet
</t>
  </si>
  <si>
    <t xml:space="preserve">Prix VIP
</t>
  </si>
  <si>
    <t>Programme des packages de formations</t>
  </si>
  <si>
    <t xml:space="preserve">Somme de Prix VIP
</t>
  </si>
  <si>
    <t>Vidéo 10</t>
  </si>
  <si>
    <t>Vidéo 9</t>
  </si>
  <si>
    <t>Vidéo 8</t>
  </si>
  <si>
    <t>Vidéo 7</t>
  </si>
  <si>
    <t>Vidéo 6</t>
  </si>
  <si>
    <t>Vidéo 5</t>
  </si>
  <si>
    <t>Vidéo 4</t>
  </si>
  <si>
    <t>Vidéo 3</t>
  </si>
  <si>
    <t>Vidéo 2</t>
  </si>
  <si>
    <t>Vidéo 1</t>
  </si>
  <si>
    <t>Mar</t>
  </si>
  <si>
    <t>Fév</t>
  </si>
  <si>
    <t>Jan</t>
  </si>
  <si>
    <t>Vidéo</t>
  </si>
  <si>
    <t>Vidéo 13</t>
  </si>
  <si>
    <t>Vidéo 14</t>
  </si>
  <si>
    <t>Vidéo 15</t>
  </si>
  <si>
    <t>Vidéo 16</t>
  </si>
  <si>
    <t>Informations de  contact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</si>
</sst>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€&quot;"/>
    <numFmt numFmtId="165" formatCode="0000000000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b/>
      <sz val="12"/>
      <name val="Century Gothic"/>
      <family val="2"/>
    </font>
    <font>
      <b/>
      <sz val="12"/>
      <color theme="1"/>
      <name val="Century Gothic"/>
      <family val="2"/>
    </font>
    <font>
      <b/>
      <sz val="14"/>
      <name val="Century Gothic"/>
      <family val="2"/>
    </font>
    <font>
      <b/>
      <sz val="20"/>
      <color theme="1"/>
      <name val="Century Gothic"/>
      <family val="2"/>
    </font>
    <font>
      <sz val="12"/>
      <color theme="1"/>
      <name val="Comic Sans MS"/>
      <family val="4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1" xfId="0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2" fillId="2" borderId="1" xfId="0" applyFont="1" applyFill="1" applyBorder="1"/>
    <xf numFmtId="164" fontId="3" fillId="2" borderId="1" xfId="0" applyNumberFormat="1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horizontal="center" vertical="center"/>
    </xf>
    <xf numFmtId="0" fontId="0" fillId="3" borderId="0" xfId="0" applyFill="1"/>
    <xf numFmtId="0" fontId="4" fillId="2" borderId="1" xfId="0" applyFont="1" applyFill="1" applyBorder="1" applyAlignment="1">
      <alignment horizontal="left" vertical="center"/>
    </xf>
    <xf numFmtId="165" fontId="1" fillId="0" borderId="1" xfId="0" applyNumberFormat="1" applyFont="1" applyBorder="1" applyAlignment="1">
      <alignment horizontal="right"/>
    </xf>
    <xf numFmtId="165" fontId="1" fillId="0" borderId="1" xfId="0" applyNumberFormat="1" applyFont="1" applyBorder="1"/>
    <xf numFmtId="164" fontId="6" fillId="4" borderId="1" xfId="0" applyNumberFormat="1" applyFont="1" applyFill="1" applyBorder="1"/>
    <xf numFmtId="164" fontId="0" fillId="0" borderId="0" xfId="0" applyNumberFormat="1"/>
    <xf numFmtId="164" fontId="0" fillId="3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5" fillId="3" borderId="0" xfId="0" applyFont="1" applyFill="1" applyAlignment="1">
      <alignment horizontal="center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8">
    <dxf>
      <numFmt numFmtId="0" formatCode="General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numFmt numFmtId="164" formatCode="#,##0\ &quot;€&quot;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rge ASSEMIEN" refreshedDate="46240.608137499999" createdVersion="8" refreshedVersion="8" minRefreshableVersion="3" recordCount="16" xr:uid="{92546829-DEA1-44D7-A639-933CE0A1B832}">
  <cacheSource type="worksheet">
    <worksheetSource ref="A3:C19" sheet="Programmes"/>
  </cacheSource>
  <cacheFields count="3">
    <cacheField name="Programme" numFmtId="0">
      <sharedItems count="16">
        <s v="Excel Débutant"/>
        <s v="Excel Avancé"/>
        <s v="Word Professionnel"/>
        <s v="PowerPoint Professionnel"/>
        <s v="Outlook"/>
        <s v="Teams"/>
        <s v="VBA Excel"/>
        <s v="Copilot M365"/>
        <s v="Analyse de données"/>
        <s v="Power BI"/>
        <s v="Cybersécurité"/>
        <s v="Maintenance Informatique"/>
        <s v="Community Management"/>
        <s v="Gestion de projet"/>
        <s v="Python Fondamental"/>
        <s v="SQL Débutant"/>
      </sharedItems>
    </cacheField>
    <cacheField name="Prix du package_x000a_ complet_x000a_" numFmtId="164">
      <sharedItems containsSemiMixedTypes="0" containsString="0" containsNumber="1" containsInteger="1" minValue="15" maxValue="195" count="16">
        <n v="15"/>
        <n v="25"/>
        <n v="35"/>
        <n v="45"/>
        <n v="60"/>
        <n v="75"/>
        <n v="90"/>
        <n v="95"/>
        <n v="110"/>
        <n v="120"/>
        <n v="135"/>
        <n v="145"/>
        <n v="160"/>
        <n v="170"/>
        <n v="185"/>
        <n v="195"/>
      </sharedItems>
    </cacheField>
    <cacheField name="Prix VIP_x000a__x000a_" numFmtId="164">
      <sharedItems containsSemiMixedTypes="0" containsString="0" containsNumber="1" containsInteger="1" minValue="225" maxValue="380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  <n v="225"/>
  </r>
  <r>
    <x v="1"/>
    <x v="1"/>
    <n v="625"/>
  </r>
  <r>
    <x v="2"/>
    <x v="2"/>
    <n v="1225"/>
  </r>
  <r>
    <x v="3"/>
    <x v="3"/>
    <n v="2025"/>
  </r>
  <r>
    <x v="4"/>
    <x v="4"/>
    <n v="3600"/>
  </r>
  <r>
    <x v="5"/>
    <x v="5"/>
    <n v="5625"/>
  </r>
  <r>
    <x v="6"/>
    <x v="6"/>
    <n v="8100"/>
  </r>
  <r>
    <x v="7"/>
    <x v="7"/>
    <n v="9025"/>
  </r>
  <r>
    <x v="8"/>
    <x v="8"/>
    <n v="12100"/>
  </r>
  <r>
    <x v="9"/>
    <x v="9"/>
    <n v="14400"/>
  </r>
  <r>
    <x v="10"/>
    <x v="10"/>
    <n v="18225"/>
  </r>
  <r>
    <x v="11"/>
    <x v="11"/>
    <n v="21025"/>
  </r>
  <r>
    <x v="12"/>
    <x v="12"/>
    <n v="25600"/>
  </r>
  <r>
    <x v="13"/>
    <x v="13"/>
    <n v="28900"/>
  </r>
  <r>
    <x v="14"/>
    <x v="14"/>
    <n v="34225"/>
  </r>
  <r>
    <x v="15"/>
    <x v="15"/>
    <n v="38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0035D8-469E-4D87-820A-9BA9B323BE00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Prix du package complet">
  <location ref="A3:B20" firstHeaderRow="1" firstDataRow="1" firstDataCol="1" rowPageCount="1" colPageCount="1"/>
  <pivotFields count="3">
    <pivotField axis="axisPage" showAll="0">
      <items count="17">
        <item x="8"/>
        <item x="12"/>
        <item x="7"/>
        <item x="10"/>
        <item x="1"/>
        <item x="0"/>
        <item x="13"/>
        <item x="11"/>
        <item x="4"/>
        <item x="9"/>
        <item x="3"/>
        <item x="14"/>
        <item x="15"/>
        <item x="5"/>
        <item x="6"/>
        <item x="2"/>
        <item t="default"/>
      </items>
    </pivotField>
    <pivotField axis="axisRow" numFmtId="164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numFmtId="164"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pageFields count="1">
    <pageField fld="0" hier="-1"/>
  </pageFields>
  <dataFields count="1">
    <dataField name="Somme de Prix VIP_x000a__x000a_" fld="2" baseField="0" baseItem="0"/>
  </dataFields>
  <formats count="8">
    <format dxfId="7">
      <pivotArea collapsedLevelsAreSubtotals="1" fieldPosition="0">
        <references count="1">
          <reference field="1" count="0"/>
        </references>
      </pivotArea>
    </format>
    <format dxfId="6">
      <pivotArea dataOnly="0" labelOnly="1" outline="0" axis="axisValues" fieldPosition="0"/>
    </format>
    <format dxfId="5">
      <pivotArea field="1" type="button" dataOnly="0" labelOnly="1" outline="0" axis="axisRow" fieldPosition="0"/>
    </format>
    <format dxfId="4">
      <pivotArea grandRow="1" outline="0" collapsedLevelsAreSubtotals="1" fieldPosition="0"/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0" count="0"/>
        </references>
      </pivotArea>
    </format>
    <format dxfId="1">
      <pivotArea field="0" type="button" dataOnly="0" labelOnly="1" outline="0" axis="axisPage" fieldPosition="0"/>
    </format>
    <format dxfId="0">
      <pivotArea dataOnly="0" labelOnly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81715-DFCF-4F34-847A-6DE3A069D5F6}">
  <dimension ref="A3:D17"/>
  <sheetViews>
    <sheetView workbookViewId="0">
      <selection activeCell="L27" sqref="L27"/>
    </sheetView>
  </sheetViews>
  <sheetFormatPr baseColWidth="10" defaultColWidth="9.140625" defaultRowHeight="15" x14ac:dyDescent="0.25"/>
  <sheetData>
    <row r="3" spans="1:4" x14ac:dyDescent="0.25">
      <c r="A3" t="s">
        <v>55</v>
      </c>
      <c r="B3" t="s">
        <v>54</v>
      </c>
      <c r="C3" t="s">
        <v>53</v>
      </c>
      <c r="D3" t="s">
        <v>52</v>
      </c>
    </row>
    <row r="4" spans="1:4" x14ac:dyDescent="0.25">
      <c r="A4" t="s">
        <v>51</v>
      </c>
      <c r="B4">
        <v>15</v>
      </c>
      <c r="C4">
        <v>12</v>
      </c>
      <c r="D4">
        <v>9</v>
      </c>
    </row>
    <row r="5" spans="1:4" x14ac:dyDescent="0.25">
      <c r="A5" t="s">
        <v>50</v>
      </c>
      <c r="B5">
        <v>30</v>
      </c>
      <c r="C5">
        <v>24</v>
      </c>
      <c r="D5">
        <v>18</v>
      </c>
    </row>
    <row r="6" spans="1:4" x14ac:dyDescent="0.25">
      <c r="A6" t="s">
        <v>49</v>
      </c>
      <c r="B6">
        <v>45</v>
      </c>
      <c r="C6">
        <v>36</v>
      </c>
      <c r="D6">
        <v>27</v>
      </c>
    </row>
    <row r="7" spans="1:4" x14ac:dyDescent="0.25">
      <c r="A7" t="s">
        <v>48</v>
      </c>
      <c r="B7">
        <v>60</v>
      </c>
      <c r="C7">
        <v>48</v>
      </c>
      <c r="D7">
        <v>36</v>
      </c>
    </row>
    <row r="8" spans="1:4" x14ac:dyDescent="0.25">
      <c r="A8" t="s">
        <v>47</v>
      </c>
      <c r="B8">
        <v>75</v>
      </c>
      <c r="C8">
        <v>60</v>
      </c>
      <c r="D8">
        <v>45</v>
      </c>
    </row>
    <row r="9" spans="1:4" x14ac:dyDescent="0.25">
      <c r="A9" t="s">
        <v>46</v>
      </c>
      <c r="B9">
        <v>90</v>
      </c>
      <c r="C9">
        <v>72</v>
      </c>
      <c r="D9">
        <v>54</v>
      </c>
    </row>
    <row r="10" spans="1:4" x14ac:dyDescent="0.25">
      <c r="A10" t="s">
        <v>45</v>
      </c>
      <c r="B10">
        <v>105</v>
      </c>
      <c r="C10">
        <v>84</v>
      </c>
      <c r="D10">
        <v>63</v>
      </c>
    </row>
    <row r="11" spans="1:4" x14ac:dyDescent="0.25">
      <c r="A11" t="s">
        <v>44</v>
      </c>
      <c r="B11">
        <v>120</v>
      </c>
      <c r="C11">
        <v>96</v>
      </c>
      <c r="D11">
        <v>72</v>
      </c>
    </row>
    <row r="12" spans="1:4" x14ac:dyDescent="0.25">
      <c r="A12" t="s">
        <v>43</v>
      </c>
      <c r="B12">
        <v>135</v>
      </c>
      <c r="C12">
        <v>108</v>
      </c>
      <c r="D12">
        <v>81</v>
      </c>
    </row>
    <row r="13" spans="1:4" x14ac:dyDescent="0.25">
      <c r="A13" t="s">
        <v>42</v>
      </c>
      <c r="B13">
        <v>150</v>
      </c>
      <c r="C13">
        <v>120</v>
      </c>
      <c r="D13">
        <v>90</v>
      </c>
    </row>
    <row r="14" spans="1:4" x14ac:dyDescent="0.25">
      <c r="A14" t="s">
        <v>56</v>
      </c>
      <c r="B14">
        <v>30</v>
      </c>
      <c r="C14">
        <v>110</v>
      </c>
      <c r="D14">
        <v>97</v>
      </c>
    </row>
    <row r="15" spans="1:4" x14ac:dyDescent="0.25">
      <c r="A15" t="s">
        <v>57</v>
      </c>
      <c r="B15">
        <v>14</v>
      </c>
      <c r="C15">
        <v>87</v>
      </c>
      <c r="D15">
        <v>100</v>
      </c>
    </row>
    <row r="16" spans="1:4" x14ac:dyDescent="0.25">
      <c r="A16" t="s">
        <v>58</v>
      </c>
      <c r="B16">
        <v>18</v>
      </c>
      <c r="C16">
        <v>24</v>
      </c>
      <c r="D16">
        <v>65</v>
      </c>
    </row>
    <row r="17" spans="1:4" x14ac:dyDescent="0.25">
      <c r="A17" t="s">
        <v>59</v>
      </c>
      <c r="B17">
        <v>78</v>
      </c>
      <c r="C17">
        <v>37</v>
      </c>
      <c r="D17">
        <v>25</v>
      </c>
    </row>
  </sheetData>
  <phoneticPr fontId="7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9C0F-0FE4-4FD2-B57F-2AAEBB905C30}">
  <dimension ref="A1:G18"/>
  <sheetViews>
    <sheetView workbookViewId="0">
      <selection activeCell="G17" sqref="G17"/>
    </sheetView>
  </sheetViews>
  <sheetFormatPr baseColWidth="10" defaultColWidth="9.140625" defaultRowHeight="15" x14ac:dyDescent="0.25"/>
  <cols>
    <col min="1" max="1" width="19.42578125" customWidth="1"/>
    <col min="2" max="2" width="18" customWidth="1"/>
    <col min="3" max="3" width="18.5703125" customWidth="1"/>
    <col min="4" max="4" width="19" customWidth="1"/>
    <col min="5" max="7" width="18" customWidth="1"/>
  </cols>
  <sheetData>
    <row r="1" spans="1:7" ht="25.5" x14ac:dyDescent="0.35">
      <c r="A1" s="16" t="s">
        <v>16</v>
      </c>
      <c r="B1" s="16"/>
      <c r="C1" s="16"/>
      <c r="D1" s="16"/>
      <c r="E1" s="16"/>
      <c r="F1" s="16"/>
      <c r="G1" s="16"/>
    </row>
    <row r="2" spans="1:7" x14ac:dyDescent="0.25">
      <c r="A2" s="8"/>
      <c r="B2" s="8"/>
      <c r="C2" s="8"/>
      <c r="D2" s="8"/>
      <c r="E2" s="8"/>
      <c r="F2" s="8"/>
      <c r="G2" s="8"/>
    </row>
    <row r="3" spans="1:7" ht="18" x14ac:dyDescent="0.25">
      <c r="A3" s="6" t="s">
        <v>14</v>
      </c>
      <c r="B3" s="7">
        <v>2022</v>
      </c>
      <c r="C3" s="7">
        <v>2023</v>
      </c>
      <c r="D3" s="7">
        <v>2024</v>
      </c>
      <c r="E3" s="7">
        <v>2025</v>
      </c>
      <c r="F3" s="7">
        <v>2026</v>
      </c>
      <c r="G3" s="7">
        <v>2027</v>
      </c>
    </row>
    <row r="4" spans="1:7" ht="17.25" x14ac:dyDescent="0.3">
      <c r="A4" s="1" t="s">
        <v>0</v>
      </c>
      <c r="B4" s="2">
        <v>5000000</v>
      </c>
      <c r="C4" s="3"/>
      <c r="D4" s="3"/>
      <c r="E4" s="3"/>
      <c r="F4" s="3"/>
      <c r="G4" s="3"/>
    </row>
    <row r="5" spans="1:7" ht="17.25" x14ac:dyDescent="0.3">
      <c r="A5" s="1" t="s">
        <v>1</v>
      </c>
      <c r="B5" s="2">
        <v>5250000</v>
      </c>
      <c r="C5" s="3"/>
      <c r="D5" s="3"/>
      <c r="E5" s="3"/>
      <c r="F5" s="3"/>
      <c r="G5" s="3"/>
    </row>
    <row r="6" spans="1:7" ht="17.25" x14ac:dyDescent="0.3">
      <c r="A6" s="1" t="s">
        <v>2</v>
      </c>
      <c r="B6" s="2">
        <v>5500000</v>
      </c>
      <c r="C6" s="3"/>
      <c r="D6" s="3"/>
      <c r="E6" s="3"/>
      <c r="F6" s="3"/>
      <c r="G6" s="3"/>
    </row>
    <row r="7" spans="1:7" ht="17.25" x14ac:dyDescent="0.3">
      <c r="A7" s="1" t="s">
        <v>3</v>
      </c>
      <c r="B7" s="2">
        <v>5750000</v>
      </c>
      <c r="C7" s="3"/>
      <c r="D7" s="3"/>
      <c r="E7" s="3"/>
      <c r="F7" s="3"/>
      <c r="G7" s="3"/>
    </row>
    <row r="8" spans="1:7" ht="17.25" x14ac:dyDescent="0.3">
      <c r="A8" s="1" t="s">
        <v>4</v>
      </c>
      <c r="B8" s="2">
        <v>6000000</v>
      </c>
      <c r="C8" s="3"/>
      <c r="D8" s="3"/>
      <c r="E8" s="3"/>
      <c r="F8" s="3"/>
      <c r="G8" s="3"/>
    </row>
    <row r="9" spans="1:7" ht="17.25" x14ac:dyDescent="0.3">
      <c r="A9" s="1" t="s">
        <v>5</v>
      </c>
      <c r="B9" s="2">
        <v>6250000</v>
      </c>
      <c r="C9" s="3"/>
      <c r="D9" s="3"/>
      <c r="E9" s="3"/>
      <c r="F9" s="3"/>
      <c r="G9" s="3"/>
    </row>
    <row r="10" spans="1:7" ht="17.25" x14ac:dyDescent="0.3">
      <c r="A10" s="1" t="s">
        <v>6</v>
      </c>
      <c r="B10" s="2">
        <v>6500000</v>
      </c>
      <c r="C10" s="3"/>
      <c r="D10" s="3"/>
      <c r="E10" s="3"/>
      <c r="F10" s="3"/>
      <c r="G10" s="3"/>
    </row>
    <row r="11" spans="1:7" ht="17.25" x14ac:dyDescent="0.3">
      <c r="A11" s="1" t="s">
        <v>7</v>
      </c>
      <c r="B11" s="2">
        <v>6750000</v>
      </c>
      <c r="C11" s="3"/>
      <c r="D11" s="3"/>
      <c r="E11" s="3"/>
      <c r="F11" s="3"/>
      <c r="G11" s="3"/>
    </row>
    <row r="12" spans="1:7" ht="17.25" x14ac:dyDescent="0.3">
      <c r="A12" s="1" t="s">
        <v>8</v>
      </c>
      <c r="B12" s="2">
        <v>7000000</v>
      </c>
      <c r="C12" s="3"/>
      <c r="D12" s="3"/>
      <c r="E12" s="3"/>
      <c r="F12" s="3"/>
      <c r="G12" s="3"/>
    </row>
    <row r="13" spans="1:7" ht="17.25" x14ac:dyDescent="0.3">
      <c r="A13" s="1" t="s">
        <v>9</v>
      </c>
      <c r="B13" s="2">
        <v>7250000</v>
      </c>
      <c r="C13" s="3"/>
      <c r="D13" s="3"/>
      <c r="E13" s="3"/>
      <c r="F13" s="3"/>
      <c r="G13" s="3"/>
    </row>
    <row r="14" spans="1:7" ht="17.25" x14ac:dyDescent="0.3">
      <c r="A14" s="1" t="s">
        <v>10</v>
      </c>
      <c r="B14" s="2">
        <v>7500000</v>
      </c>
      <c r="C14" s="3"/>
      <c r="D14" s="3"/>
      <c r="E14" s="3"/>
      <c r="F14" s="3"/>
      <c r="G14" s="3"/>
    </row>
    <row r="15" spans="1:7" ht="17.25" x14ac:dyDescent="0.3">
      <c r="A15" s="1" t="s">
        <v>11</v>
      </c>
      <c r="B15" s="2">
        <v>7750000</v>
      </c>
      <c r="C15" s="3"/>
      <c r="D15" s="3"/>
      <c r="E15" s="3"/>
      <c r="F15" s="3"/>
      <c r="G15" s="3"/>
    </row>
    <row r="16" spans="1:7" ht="17.25" x14ac:dyDescent="0.3">
      <c r="A16" s="1" t="s">
        <v>12</v>
      </c>
      <c r="B16" s="2">
        <v>8000000</v>
      </c>
      <c r="C16" s="3"/>
      <c r="D16" s="3"/>
      <c r="E16" s="3"/>
      <c r="F16" s="3"/>
      <c r="G16" s="3"/>
    </row>
    <row r="17" spans="1:7" ht="17.25" x14ac:dyDescent="0.3">
      <c r="A17" s="1" t="s">
        <v>13</v>
      </c>
      <c r="B17" s="2">
        <v>8250000</v>
      </c>
      <c r="C17" s="3"/>
      <c r="D17" s="3"/>
      <c r="E17" s="3"/>
      <c r="F17" s="3"/>
      <c r="G17" s="3"/>
    </row>
    <row r="18" spans="1:7" ht="15.75" x14ac:dyDescent="0.25">
      <c r="A18" s="4" t="s">
        <v>15</v>
      </c>
      <c r="B18" s="5">
        <f>SUM(B4:B17)</f>
        <v>92750000</v>
      </c>
      <c r="C18" s="5">
        <f t="shared" ref="C18:G18" si="0">SUM(C4:C17)</f>
        <v>0</v>
      </c>
      <c r="D18" s="5">
        <f t="shared" si="0"/>
        <v>0</v>
      </c>
      <c r="E18" s="5">
        <f t="shared" si="0"/>
        <v>0</v>
      </c>
      <c r="F18" s="5">
        <f t="shared" si="0"/>
        <v>0</v>
      </c>
      <c r="G18" s="5">
        <f t="shared" si="0"/>
        <v>0</v>
      </c>
    </row>
  </sheetData>
  <mergeCells count="1">
    <mergeCell ref="A1:G1"/>
  </mergeCells>
  <pageMargins left="0.75" right="0.75" top="1" bottom="1" header="0.5" footer="0.5"/>
  <pageSetup paperSize="9" orientation="portrait" horizontalDpi="4294967292" verticalDpi="0" r:id="rId1"/>
  <ignoredErrors>
    <ignoredError sqref="B18:G1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01F6E-5FED-49D1-92B2-DBA6C893C679}">
  <dimension ref="B1:G12"/>
  <sheetViews>
    <sheetView zoomScaleNormal="100" workbookViewId="0">
      <selection activeCell="J18" sqref="J18"/>
    </sheetView>
  </sheetViews>
  <sheetFormatPr baseColWidth="10" defaultColWidth="9.140625" defaultRowHeight="15" x14ac:dyDescent="0.25"/>
  <cols>
    <col min="2" max="2" width="22" customWidth="1"/>
    <col min="3" max="3" width="25.7109375" customWidth="1"/>
    <col min="6" max="6" width="22" customWidth="1"/>
    <col min="7" max="7" width="26.85546875" customWidth="1"/>
  </cols>
  <sheetData>
    <row r="1" spans="2:7" ht="18.75" x14ac:dyDescent="0.3">
      <c r="F1" s="17" t="s">
        <v>60</v>
      </c>
      <c r="G1" s="17"/>
    </row>
    <row r="3" spans="2:7" ht="18" x14ac:dyDescent="0.25">
      <c r="F3" s="9" t="s">
        <v>14</v>
      </c>
      <c r="G3" s="7" t="s">
        <v>17</v>
      </c>
    </row>
    <row r="4" spans="2:7" ht="18" x14ac:dyDescent="0.3">
      <c r="B4" s="9" t="s">
        <v>14</v>
      </c>
      <c r="C4" s="7" t="s">
        <v>17</v>
      </c>
      <c r="F4" s="3" t="s">
        <v>0</v>
      </c>
      <c r="G4" s="10">
        <v>110101010</v>
      </c>
    </row>
    <row r="5" spans="2:7" ht="17.25" x14ac:dyDescent="0.3">
      <c r="B5" s="3" t="s">
        <v>0</v>
      </c>
      <c r="C5" s="11"/>
      <c r="F5" s="3" t="s">
        <v>1</v>
      </c>
      <c r="G5" s="10">
        <v>120202020</v>
      </c>
    </row>
    <row r="6" spans="2:7" ht="17.25" x14ac:dyDescent="0.3">
      <c r="B6" s="3" t="s">
        <v>1</v>
      </c>
      <c r="C6" s="11"/>
      <c r="F6" s="3" t="s">
        <v>2</v>
      </c>
      <c r="G6" s="10">
        <v>530303030</v>
      </c>
    </row>
    <row r="7" spans="2:7" ht="17.25" x14ac:dyDescent="0.3">
      <c r="B7" s="3" t="s">
        <v>2</v>
      </c>
      <c r="C7" s="11"/>
      <c r="F7" s="3" t="s">
        <v>3</v>
      </c>
      <c r="G7" s="10">
        <v>740404040</v>
      </c>
    </row>
    <row r="8" spans="2:7" ht="17.25" x14ac:dyDescent="0.3">
      <c r="B8" s="3" t="s">
        <v>3</v>
      </c>
      <c r="C8" s="11"/>
      <c r="F8" s="3" t="s">
        <v>4</v>
      </c>
      <c r="G8" s="10">
        <v>850505050</v>
      </c>
    </row>
    <row r="9" spans="2:7" ht="17.25" x14ac:dyDescent="0.3">
      <c r="B9" s="3" t="s">
        <v>4</v>
      </c>
      <c r="C9" s="11"/>
      <c r="F9" s="3" t="s">
        <v>9</v>
      </c>
      <c r="G9" s="10">
        <v>960606060</v>
      </c>
    </row>
    <row r="10" spans="2:7" ht="17.25" x14ac:dyDescent="0.3">
      <c r="B10" s="3" t="s">
        <v>9</v>
      </c>
      <c r="C10" s="11"/>
      <c r="F10" s="3" t="s">
        <v>10</v>
      </c>
      <c r="G10" s="10">
        <v>270707070</v>
      </c>
    </row>
    <row r="11" spans="2:7" ht="17.25" x14ac:dyDescent="0.3">
      <c r="B11" s="3" t="s">
        <v>10</v>
      </c>
      <c r="C11" s="11"/>
      <c r="F11" s="3" t="s">
        <v>11</v>
      </c>
      <c r="G11" s="10">
        <v>580808080</v>
      </c>
    </row>
    <row r="12" spans="2:7" ht="17.25" x14ac:dyDescent="0.3">
      <c r="B12" s="3" t="s">
        <v>11</v>
      </c>
      <c r="C12" s="11"/>
    </row>
  </sheetData>
  <mergeCells count="1">
    <mergeCell ref="F1:G1"/>
  </mergeCells>
  <pageMargins left="0.75" right="0.75" top="1" bottom="1" header="0.5" footer="0.5"/>
  <pageSetup paperSize="9"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20FF6-6FEA-4E13-9464-8600A57B25C6}">
  <dimension ref="A1:C19"/>
  <sheetViews>
    <sheetView workbookViewId="0">
      <selection activeCell="A10" sqref="A10"/>
    </sheetView>
  </sheetViews>
  <sheetFormatPr baseColWidth="10" defaultRowHeight="15" x14ac:dyDescent="0.25"/>
  <cols>
    <col min="1" max="1" width="61.28515625" customWidth="1"/>
    <col min="2" max="2" width="40" customWidth="1"/>
    <col min="3" max="3" width="31" customWidth="1"/>
  </cols>
  <sheetData>
    <row r="1" spans="1:3" ht="30" customHeight="1" x14ac:dyDescent="0.35">
      <c r="A1" s="16" t="s">
        <v>40</v>
      </c>
      <c r="B1" s="16"/>
      <c r="C1" s="16"/>
    </row>
    <row r="2" spans="1:3" ht="17.25" customHeight="1" x14ac:dyDescent="0.25"/>
    <row r="3" spans="1:3" ht="50.25" customHeight="1" x14ac:dyDescent="0.25">
      <c r="A3" s="9" t="s">
        <v>21</v>
      </c>
      <c r="B3" s="7" t="s">
        <v>38</v>
      </c>
      <c r="C3" s="7" t="s">
        <v>39</v>
      </c>
    </row>
    <row r="4" spans="1:3" ht="19.5" x14ac:dyDescent="0.4">
      <c r="A4" s="3" t="s">
        <v>22</v>
      </c>
      <c r="B4" s="2">
        <v>15</v>
      </c>
      <c r="C4" s="12">
        <f>B4*B4</f>
        <v>225</v>
      </c>
    </row>
    <row r="5" spans="1:3" ht="19.5" x14ac:dyDescent="0.4">
      <c r="A5" s="3" t="s">
        <v>23</v>
      </c>
      <c r="B5" s="2">
        <v>25</v>
      </c>
      <c r="C5" s="12">
        <f t="shared" ref="C5:C19" si="0">B5*B5</f>
        <v>625</v>
      </c>
    </row>
    <row r="6" spans="1:3" ht="19.5" x14ac:dyDescent="0.4">
      <c r="A6" s="3" t="s">
        <v>24</v>
      </c>
      <c r="B6" s="2">
        <v>35</v>
      </c>
      <c r="C6" s="12">
        <f t="shared" si="0"/>
        <v>1225</v>
      </c>
    </row>
    <row r="7" spans="1:3" ht="19.5" x14ac:dyDescent="0.4">
      <c r="A7" s="3" t="s">
        <v>25</v>
      </c>
      <c r="B7" s="2">
        <v>45</v>
      </c>
      <c r="C7" s="12">
        <f t="shared" si="0"/>
        <v>2025</v>
      </c>
    </row>
    <row r="8" spans="1:3" ht="19.5" x14ac:dyDescent="0.4">
      <c r="A8" s="3" t="s">
        <v>26</v>
      </c>
      <c r="B8" s="2">
        <v>60</v>
      </c>
      <c r="C8" s="12">
        <f t="shared" si="0"/>
        <v>3600</v>
      </c>
    </row>
    <row r="9" spans="1:3" ht="19.5" x14ac:dyDescent="0.4">
      <c r="A9" s="3" t="s">
        <v>27</v>
      </c>
      <c r="B9" s="2">
        <v>75</v>
      </c>
      <c r="C9" s="12">
        <f t="shared" si="0"/>
        <v>5625</v>
      </c>
    </row>
    <row r="10" spans="1:3" ht="19.5" x14ac:dyDescent="0.4">
      <c r="A10" s="3" t="s">
        <v>28</v>
      </c>
      <c r="B10" s="2">
        <v>90</v>
      </c>
      <c r="C10" s="12">
        <f t="shared" si="0"/>
        <v>8100</v>
      </c>
    </row>
    <row r="11" spans="1:3" ht="19.5" x14ac:dyDescent="0.4">
      <c r="A11" s="3" t="s">
        <v>29</v>
      </c>
      <c r="B11" s="2">
        <v>95</v>
      </c>
      <c r="C11" s="12">
        <f t="shared" si="0"/>
        <v>9025</v>
      </c>
    </row>
    <row r="12" spans="1:3" ht="19.5" x14ac:dyDescent="0.4">
      <c r="A12" s="3" t="s">
        <v>30</v>
      </c>
      <c r="B12" s="2">
        <v>110</v>
      </c>
      <c r="C12" s="12">
        <f t="shared" si="0"/>
        <v>12100</v>
      </c>
    </row>
    <row r="13" spans="1:3" ht="19.5" x14ac:dyDescent="0.4">
      <c r="A13" s="3" t="s">
        <v>31</v>
      </c>
      <c r="B13" s="2">
        <v>120</v>
      </c>
      <c r="C13" s="12">
        <f t="shared" si="0"/>
        <v>14400</v>
      </c>
    </row>
    <row r="14" spans="1:3" ht="19.5" x14ac:dyDescent="0.4">
      <c r="A14" s="3" t="s">
        <v>32</v>
      </c>
      <c r="B14" s="2">
        <v>135</v>
      </c>
      <c r="C14" s="12">
        <f t="shared" si="0"/>
        <v>18225</v>
      </c>
    </row>
    <row r="15" spans="1:3" ht="19.5" x14ac:dyDescent="0.4">
      <c r="A15" s="3" t="s">
        <v>33</v>
      </c>
      <c r="B15" s="2">
        <v>145</v>
      </c>
      <c r="C15" s="12">
        <f t="shared" si="0"/>
        <v>21025</v>
      </c>
    </row>
    <row r="16" spans="1:3" ht="19.5" x14ac:dyDescent="0.4">
      <c r="A16" s="3" t="s">
        <v>34</v>
      </c>
      <c r="B16" s="2">
        <v>160</v>
      </c>
      <c r="C16" s="12">
        <f t="shared" si="0"/>
        <v>25600</v>
      </c>
    </row>
    <row r="17" spans="1:3" ht="19.5" x14ac:dyDescent="0.4">
      <c r="A17" s="3" t="s">
        <v>35</v>
      </c>
      <c r="B17" s="2">
        <v>170</v>
      </c>
      <c r="C17" s="12">
        <f t="shared" si="0"/>
        <v>28900</v>
      </c>
    </row>
    <row r="18" spans="1:3" ht="19.5" x14ac:dyDescent="0.4">
      <c r="A18" s="3" t="s">
        <v>36</v>
      </c>
      <c r="B18" s="2">
        <v>185</v>
      </c>
      <c r="C18" s="12">
        <f t="shared" si="0"/>
        <v>34225</v>
      </c>
    </row>
    <row r="19" spans="1:3" ht="19.5" x14ac:dyDescent="0.4">
      <c r="A19" s="3" t="s">
        <v>37</v>
      </c>
      <c r="B19" s="2">
        <v>195</v>
      </c>
      <c r="C19" s="12">
        <f t="shared" si="0"/>
        <v>38025</v>
      </c>
    </row>
  </sheetData>
  <mergeCells count="1">
    <mergeCell ref="A1:C1"/>
  </mergeCells>
  <pageMargins left="0.7" right="0.7" top="0.75" bottom="0.75" header="0.3" footer="0.3"/>
  <pageSetup paperSize="9" orientation="portrait" horizontalDpi="4294967292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44DF3-4B64-4F50-8C5E-6C08FCC01A9B}">
  <dimension ref="A1:B20"/>
  <sheetViews>
    <sheetView tabSelected="1" workbookViewId="0">
      <selection activeCell="J11" sqref="J11"/>
    </sheetView>
  </sheetViews>
  <sheetFormatPr baseColWidth="10" defaultRowHeight="15" x14ac:dyDescent="0.25"/>
  <cols>
    <col min="1" max="1" width="25" bestFit="1" customWidth="1"/>
    <col min="2" max="2" width="20.140625" bestFit="1" customWidth="1"/>
    <col min="3" max="3" width="23.85546875" bestFit="1" customWidth="1"/>
    <col min="4" max="4" width="12.7109375" bestFit="1" customWidth="1"/>
    <col min="5" max="5" width="13.28515625" bestFit="1" customWidth="1"/>
    <col min="6" max="6" width="12.42578125" bestFit="1" customWidth="1"/>
    <col min="7" max="7" width="14.28515625" bestFit="1" customWidth="1"/>
    <col min="8" max="8" width="16.7109375" bestFit="1" customWidth="1"/>
    <col min="9" max="9" width="25.140625" bestFit="1" customWidth="1"/>
    <col min="10" max="10" width="8.140625" bestFit="1" customWidth="1"/>
    <col min="11" max="11" width="8.85546875" bestFit="1" customWidth="1"/>
    <col min="12" max="12" width="24.42578125" bestFit="1" customWidth="1"/>
    <col min="13" max="13" width="19.5703125" bestFit="1" customWidth="1"/>
    <col min="14" max="14" width="13" bestFit="1" customWidth="1"/>
    <col min="15" max="15" width="6.7109375" bestFit="1" customWidth="1"/>
    <col min="16" max="16" width="9.7109375" bestFit="1" customWidth="1"/>
    <col min="17" max="17" width="18.85546875" bestFit="1" customWidth="1"/>
    <col min="18" max="18" width="12.5703125" bestFit="1" customWidth="1"/>
  </cols>
  <sheetData>
    <row r="1" spans="1:2" x14ac:dyDescent="0.25">
      <c r="A1" s="8" t="s">
        <v>21</v>
      </c>
      <c r="B1" s="8" t="s">
        <v>18</v>
      </c>
    </row>
    <row r="3" spans="1:2" x14ac:dyDescent="0.25">
      <c r="A3" s="8" t="s">
        <v>20</v>
      </c>
      <c r="B3" s="8" t="s">
        <v>41</v>
      </c>
    </row>
    <row r="4" spans="1:2" x14ac:dyDescent="0.25">
      <c r="A4" s="15">
        <v>15</v>
      </c>
      <c r="B4" s="13">
        <v>225</v>
      </c>
    </row>
    <row r="5" spans="1:2" x14ac:dyDescent="0.25">
      <c r="A5" s="15">
        <v>25</v>
      </c>
      <c r="B5" s="13">
        <v>625</v>
      </c>
    </row>
    <row r="6" spans="1:2" x14ac:dyDescent="0.25">
      <c r="A6" s="15">
        <v>35</v>
      </c>
      <c r="B6" s="13">
        <v>1225</v>
      </c>
    </row>
    <row r="7" spans="1:2" x14ac:dyDescent="0.25">
      <c r="A7" s="15">
        <v>45</v>
      </c>
      <c r="B7" s="13">
        <v>2025</v>
      </c>
    </row>
    <row r="8" spans="1:2" x14ac:dyDescent="0.25">
      <c r="A8" s="15">
        <v>60</v>
      </c>
      <c r="B8" s="13">
        <v>3600</v>
      </c>
    </row>
    <row r="9" spans="1:2" x14ac:dyDescent="0.25">
      <c r="A9" s="15">
        <v>75</v>
      </c>
      <c r="B9" s="13">
        <v>5625</v>
      </c>
    </row>
    <row r="10" spans="1:2" x14ac:dyDescent="0.25">
      <c r="A10" s="15">
        <v>90</v>
      </c>
      <c r="B10" s="13">
        <v>8100</v>
      </c>
    </row>
    <row r="11" spans="1:2" x14ac:dyDescent="0.25">
      <c r="A11" s="15">
        <v>95</v>
      </c>
      <c r="B11" s="13">
        <v>9025</v>
      </c>
    </row>
    <row r="12" spans="1:2" x14ac:dyDescent="0.25">
      <c r="A12" s="15">
        <v>110</v>
      </c>
      <c r="B12" s="13">
        <v>12100</v>
      </c>
    </row>
    <row r="13" spans="1:2" x14ac:dyDescent="0.25">
      <c r="A13" s="15">
        <v>120</v>
      </c>
      <c r="B13" s="13">
        <v>14400</v>
      </c>
    </row>
    <row r="14" spans="1:2" x14ac:dyDescent="0.25">
      <c r="A14" s="15">
        <v>135</v>
      </c>
      <c r="B14" s="13">
        <v>18225</v>
      </c>
    </row>
    <row r="15" spans="1:2" x14ac:dyDescent="0.25">
      <c r="A15" s="15">
        <v>145</v>
      </c>
      <c r="B15" s="13">
        <v>21025</v>
      </c>
    </row>
    <row r="16" spans="1:2" x14ac:dyDescent="0.25">
      <c r="A16" s="15">
        <v>160</v>
      </c>
      <c r="B16" s="13">
        <v>25600</v>
      </c>
    </row>
    <row r="17" spans="1:2" x14ac:dyDescent="0.25">
      <c r="A17" s="15">
        <v>170</v>
      </c>
      <c r="B17" s="13">
        <v>28900</v>
      </c>
    </row>
    <row r="18" spans="1:2" x14ac:dyDescent="0.25">
      <c r="A18" s="15">
        <v>185</v>
      </c>
      <c r="B18" s="13">
        <v>34225</v>
      </c>
    </row>
    <row r="19" spans="1:2" x14ac:dyDescent="0.25">
      <c r="A19" s="15">
        <v>195</v>
      </c>
      <c r="B19" s="13">
        <v>38025</v>
      </c>
    </row>
    <row r="20" spans="1:2" x14ac:dyDescent="0.25">
      <c r="A20" s="14" t="s">
        <v>19</v>
      </c>
      <c r="B20" s="8">
        <v>222950</v>
      </c>
    </row>
  </sheetData>
  <pageMargins left="0.7" right="0.7" top="0.75" bottom="0.75" header="0.3" footer="0.3"/>
  <pageSetup paperSize="9" orientation="portrait" horizontalDpi="4294967292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Vidéos populaires</vt:lpstr>
      <vt:lpstr>Ventes régionales</vt:lpstr>
      <vt:lpstr>Employés</vt:lpstr>
      <vt:lpstr>Programmes</vt:lpstr>
      <vt:lpstr>Analyse des programmes </vt:lpstr>
      <vt:lpstr>informations_de_contact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ASSEMIEN OUAKE- SETOU SERGE</dc:creator>
  <cp:keywords/>
  <dc:description/>
  <cp:lastModifiedBy>WS003</cp:lastModifiedBy>
  <cp:revision/>
  <dcterms:created xsi:type="dcterms:W3CDTF">2026-08-06T12:52:21Z</dcterms:created>
  <dcterms:modified xsi:type="dcterms:W3CDTF">2026-08-10T15:11:26Z</dcterms:modified>
  <cp:category/>
  <cp:contentStatus/>
</cp:coreProperties>
</file>